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trol" sheetId="2" state="visible" r:id="rId4"/>
    <sheet name="Inputs" sheetId="3" state="visible" r:id="rId5"/>
    <sheet name="CoA" sheetId="4" state="visible" r:id="rId6"/>
    <sheet name="TB" sheetId="5" state="visible" r:id="rId7"/>
    <sheet name="Close_Calendar" sheetId="6" state="visible" r:id="rId8"/>
    <sheet name="Rec_Summary" sheetId="7" state="visible" r:id="rId9"/>
    <sheet name="Rec_Bank" sheetId="8" state="visible" r:id="rId10"/>
    <sheet name="Rec_AR" sheetId="9" state="visible" r:id="rId11"/>
    <sheet name="Rec_AP" sheetId="10" state="visible" r:id="rId12"/>
    <sheet name="Rec_Inventory" sheetId="11" state="visible" r:id="rId13"/>
    <sheet name="Rec_Accruals" sheetId="12" state="visible" r:id="rId14"/>
    <sheet name="Rec_Prepayments" sheetId="13" state="visible" r:id="rId15"/>
    <sheet name="Rec_GST" sheetId="14" state="visible" r:id="rId16"/>
    <sheet name="Rec_Payroll" sheetId="15" state="visible" r:id="rId17"/>
    <sheet name="Variance" sheetId="16" state="visible" r:id="rId18"/>
    <sheet name="FA_Register" sheetId="17" state="visible" r:id="rId19"/>
    <sheet name="BAS_IAS" sheetId="18" state="visible" r:id="rId20"/>
    <sheet name="FBT" sheetId="19" state="visible" r:id="rId21"/>
    <sheet name="Payroll" sheetId="20" state="visible" r:id="rId22"/>
    <sheet name="Forecast" sheetId="21" state="visible" r:id="rId23"/>
    <sheet name="Automation" sheetId="22" state="visible" r:id="rId2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<sst xmlns="http://schemas.openxmlformats.org/spreadsheetml/2006/main" count="1519" uniqueCount="913">
  <si>
    <t xml:space="preserve">Month-End Close &amp; Compliance Pack</t>
  </si>
  <si>
    <t xml:space="preserve">Portfolio piece: Financial Accountant capability (retail environment)</t>
  </si>
  <si>
    <t xml:space="preserve">IMPORTANT</t>
  </si>
  <si>
    <t xml:space="preserve">All figures are SIMULATED and illustrative at a scale loosely comparable to a mid-sized ASX specialty retailer. They are NOT Adairs' reported results and no internal company data is used. Replace the inputs with figures from the published Annual Report / half-year results if you want the pack anchored to reported numbers.</t>
  </si>
  <si>
    <t xml:space="preserve">Purpose</t>
  </si>
  <si>
    <t xml:space="preserve">Demonstrates a full monthly close: trial balance, balance sheet reconciliations with ageing and sign-off, P&amp;L flux analysis, a close calendar with owners and due dates, and a control sheet that proves everything ties. BAS/IAS and FBT workings are built and linked to the GL; payroll oversight, a driver-based rolling forecast with scenario switch, and a Python bank reconciliation automation are also built.</t>
  </si>
  <si>
    <t xml:space="preserve">Tab</t>
  </si>
  <si>
    <t xml:space="preserve">What it does</t>
  </si>
  <si>
    <t xml:space="preserve">Control</t>
  </si>
  <si>
    <t xml:space="preserve">One-page proof the close ties: TB balances, journals net to zero, P&amp;L agrees to TB, all reconciliations reconciled. Overall PASS / REVIEW flag.</t>
  </si>
  <si>
    <t xml:space="preserve">Inputs</t>
  </si>
  <si>
    <t xml:space="preserve">Period, preparer, GST rate, ageing and flux thresholds. Every assumption lives here.</t>
  </si>
  <si>
    <t xml:space="preserve">CoA</t>
  </si>
  <si>
    <t xml:space="preserve">Chart of accounts with type, statement, normal balance, reconciliation owner, plus a change-control log.</t>
  </si>
  <si>
    <t xml:space="preserve">TB</t>
  </si>
  <si>
    <t xml:space="preserve">Simulated trial balance (prior month closing, closing, month movement, budget, prior year). Debits positive, credits negative.</t>
  </si>
  <si>
    <t xml:space="preserve">Close_Calendar</t>
  </si>
  <si>
    <t xml:space="preserve">Day-by-day close checklist with working-day due dates, owners, status dropdowns and completion %.</t>
  </si>
  <si>
    <t xml:space="preserve">Rec_Summary</t>
  </si>
  <si>
    <t xml:space="preserve">Dashboard of all balance sheet reconciliations: GL vs source, difference, journals required, aged items.</t>
  </si>
  <si>
    <t xml:space="preserve">Rec_Bank ... Rec_Payroll</t>
  </si>
  <si>
    <t xml:space="preserve">Eight reconciliation tabs on one standard template (GL, source balance, timing items vs GL adjustments, ageing, sign-off).</t>
  </si>
  <si>
    <t xml:space="preserve">Variance</t>
  </si>
  <si>
    <t xml:space="preserve">Month P&amp;L actual vs budget vs prior year, favourable/(unfavourable), automatic 'Explain' flags, commentary column.</t>
  </si>
  <si>
    <t xml:space="preserve">BAS_IAS</t>
  </si>
  <si>
    <t xml:space="preserve">Monthly BAS (G1, G2, G3, G10, G11, 1A, 1B, W1, W2) built from TB data, reconciled back to GL GST and PAYG accounts with every difference explained, plus IAS workings.</t>
  </si>
  <si>
    <t xml:space="preserve">FBT</t>
  </si>
  <si>
    <t xml:space="preserve">FBT year schedule: Type 1 / Type 2 classification, car statutory formula, gross-up, 47% FBT, reportable amounts, YTD accrual and proposed journal.</t>
  </si>
  <si>
    <t xml:space="preserve">FA_Register</t>
  </si>
  <si>
    <t xml:space="preserve">Asset register with roll-forward, depreciation, book vs tax and deferred tax; ties to the TB, P&amp;L depreciation and BAS capital purchases.</t>
  </si>
  <si>
    <t xml:space="preserve">Payroll, Forecast, Automation</t>
  </si>
  <si>
    <t xml:space="preserve">Payroll: register to GL journal, W1/W2 tie to BAS, Payday Super check, liability and leave provision rolls. Forecast: 12-month driver-based rolling forecast, Base/Downside switch, EBITDA bridge. Automation: Python bank rec matcher results tied to Rec_Bank, time saved, automation backlog.</t>
  </si>
  <si>
    <t xml:space="preserve">Colour legend</t>
  </si>
  <si>
    <t xml:space="preserve">Blue = hardcoded input / simulated data</t>
  </si>
  <si>
    <t xml:space="preserve">Black = formula on the same sheet</t>
  </si>
  <si>
    <t xml:space="preserve">Green = link to another sheet</t>
  </si>
  <si>
    <t xml:space="preserve">Yellow fill = cell to complete (commentary, sign-off)</t>
  </si>
  <si>
    <t xml:space="preserve">Sign convention</t>
  </si>
  <si>
    <t xml:space="preserve">TB: debits positive, credits negative. Reconciliation tabs show liabilities as positive (sign factor on each tab).</t>
  </si>
  <si>
    <t xml:space="preserve">Reconciliation logic</t>
  </si>
  <si>
    <t xml:space="preserve">Difference = (GL balance + GL adjustments) - (source balance + timing items). Timing items clear on their own next period; GL adjustments need a journal. Items older than the ageing threshold are flagged.</t>
  </si>
  <si>
    <t xml:space="preserve">Close Control Sheet</t>
  </si>
  <si>
    <t xml:space="preserve">Every check below must show PASS before the period is locked</t>
  </si>
  <si>
    <t xml:space="preserve">Period end:</t>
  </si>
  <si>
    <t xml:space="preserve">#</t>
  </si>
  <si>
    <t xml:space="preserve">Control check</t>
  </si>
  <si>
    <t xml:space="preserve">Value</t>
  </si>
  <si>
    <t xml:space="preserve">Result</t>
  </si>
  <si>
    <t xml:space="preserve">Trial balance (closing) sums to nil</t>
  </si>
  <si>
    <t xml:space="preserve">Trial balance (prior month) sums to nil</t>
  </si>
  <si>
    <t xml:space="preserve">Month movements net to nil (journals balance)</t>
  </si>
  <si>
    <t xml:space="preserve">P&amp;L: month NPBT per Variance agrees to TB movement</t>
  </si>
  <si>
    <t xml:space="preserve">All balance sheet reconciliations reconciled (count not reconciled)</t>
  </si>
  <si>
    <t xml:space="preserve">Total unreconciled difference across reconciliations</t>
  </si>
  <si>
    <t xml:space="preserve">BAS GST and PAYG-W agree to GL after documented items (unexplained difference)</t>
  </si>
  <si>
    <t xml:space="preserve">FBT summary agrees to schedule total (difference)</t>
  </si>
  <si>
    <t xml:space="preserve">Fixed asset register agrees to GL, P&amp;L depreciation and BAS capex (sum of differences)</t>
  </si>
  <si>
    <t xml:space="preserve">Reconciling items older than ageing threshold (count)</t>
  </si>
  <si>
    <t xml:space="preserve">Close calendar tasks completed</t>
  </si>
  <si>
    <t xml:space="preserve">Overall status (hard controls 1-9)</t>
  </si>
  <si>
    <t xml:space="preserve">Checks 10-11 are workflow indicators: aged items and close progress. They do not fail the hard controls.</t>
  </si>
  <si>
    <t xml:space="preserve">Inputs &amp; Assumptions</t>
  </si>
  <si>
    <t xml:space="preserve">Blue cells are inputs; everything else in the workbook reads from here</t>
  </si>
  <si>
    <t xml:space="preserve">Entity</t>
  </si>
  <si>
    <t xml:space="preserve">Specialty retailer (simulated, Adairs-style)</t>
  </si>
  <si>
    <t xml:space="preserve">Illustrative entity; not Adairs reported data</t>
  </si>
  <si>
    <t xml:space="preserve">Reporting period</t>
  </si>
  <si>
    <t xml:space="preserve">September 2026 (Q1 FY27)</t>
  </si>
  <si>
    <t xml:space="preserve">Label only</t>
  </si>
  <si>
    <t xml:space="preserve">Period end date</t>
  </si>
  <si>
    <t xml:space="preserve">Drives close calendar due dates and ageing</t>
  </si>
  <si>
    <t xml:space="preserve">Prepared by</t>
  </si>
  <si>
    <t xml:space="preserve">Bhagyashree Amblimath</t>
  </si>
  <si>
    <t xml:space="preserve">Preparer on all reconciliations</t>
  </si>
  <si>
    <t xml:space="preserve">Reviewed by</t>
  </si>
  <si>
    <t xml:space="preserve">Financial Controller (simulated)</t>
  </si>
  <si>
    <t xml:space="preserve">Reviewer sign-off is left blank for completion</t>
  </si>
  <si>
    <t xml:space="preserve">GST rate</t>
  </si>
  <si>
    <t xml:space="preserve">Australian GST rate</t>
  </si>
  <si>
    <t xml:space="preserve">Reconciling-item ageing threshold (days)</t>
  </si>
  <si>
    <t xml:space="preserve">Items older than this are flagged 'Aged'</t>
  </si>
  <si>
    <t xml:space="preserve">Flux threshold ($)</t>
  </si>
  <si>
    <t xml:space="preserve">Variance must exceed this AND the % threshold to flag 'Explain'</t>
  </si>
  <si>
    <t xml:space="preserve">Flux threshold (%)</t>
  </si>
  <si>
    <t xml:space="preserve">As above</t>
  </si>
  <si>
    <t xml:space="preserve">Reconciliation tolerance ($)</t>
  </si>
  <si>
    <t xml:space="preserve">Differences under this show as RECONCILED</t>
  </si>
  <si>
    <t xml:space="preserve">Chart of Accounts</t>
  </si>
  <si>
    <t xml:space="preserve">Simulated retail chart of accounts with reconciliation ownership</t>
  </si>
  <si>
    <t xml:space="preserve">Code</t>
  </si>
  <si>
    <t xml:space="preserve">Account name</t>
  </si>
  <si>
    <t xml:space="preserve">Type</t>
  </si>
  <si>
    <t xml:space="preserve">Statement</t>
  </si>
  <si>
    <t xml:space="preserve">Normal bal.</t>
  </si>
  <si>
    <t xml:space="preserve">Reconciled in</t>
  </si>
  <si>
    <t xml:space="preserve">Owner</t>
  </si>
  <si>
    <t xml:space="preserve">Cash at bank - operating</t>
  </si>
  <si>
    <t xml:space="preserve">Asset</t>
  </si>
  <si>
    <t xml:space="preserve">BS</t>
  </si>
  <si>
    <t xml:space="preserve">Dr</t>
  </si>
  <si>
    <t xml:space="preserve">Rec_Bank</t>
  </si>
  <si>
    <t xml:space="preserve">Treasury</t>
  </si>
  <si>
    <t xml:space="preserve">Store floats and cash on hand</t>
  </si>
  <si>
    <t xml:space="preserve">Retail Ops</t>
  </si>
  <si>
    <t xml:space="preserve">Trade debtors</t>
  </si>
  <si>
    <t xml:space="preserve">Rec_AR</t>
  </si>
  <si>
    <t xml:space="preserve">AR</t>
  </si>
  <si>
    <t xml:space="preserve">Other receivables</t>
  </si>
  <si>
    <t xml:space="preserve">Inventory - finished goods</t>
  </si>
  <si>
    <t xml:space="preserve">Rec_Inventory</t>
  </si>
  <si>
    <t xml:space="preserve">Supply Chain Finance</t>
  </si>
  <si>
    <t xml:space="preserve">Inventory in transit</t>
  </si>
  <si>
    <t xml:space="preserve">Prepayments</t>
  </si>
  <si>
    <t xml:space="preserve">Rec_Prepayments</t>
  </si>
  <si>
    <t xml:space="preserve">Financial Accountant</t>
  </si>
  <si>
    <t xml:space="preserve">Store fit-out - cost</t>
  </si>
  <si>
    <t xml:space="preserve">IT equipment - cost</t>
  </si>
  <si>
    <t xml:space="preserve">Store fit-out - accumulated depreciation</t>
  </si>
  <si>
    <t xml:space="preserve">Cr</t>
  </si>
  <si>
    <t xml:space="preserve">IT equipment - accumulated depreciation</t>
  </si>
  <si>
    <t xml:space="preserve">Trade creditors</t>
  </si>
  <si>
    <t xml:space="preserve">Liability</t>
  </si>
  <si>
    <t xml:space="preserve">Rec_AP</t>
  </si>
  <si>
    <t xml:space="preserve">AP</t>
  </si>
  <si>
    <t xml:space="preserve">Accrued expenses</t>
  </si>
  <si>
    <t xml:space="preserve">Rec_Accruals</t>
  </si>
  <si>
    <t xml:space="preserve">Goods received not invoiced (GRNI)</t>
  </si>
  <si>
    <t xml:space="preserve">PAYG withholding payable</t>
  </si>
  <si>
    <t xml:space="preserve">Rec_Payroll</t>
  </si>
  <si>
    <t xml:space="preserve">Payroll</t>
  </si>
  <si>
    <t xml:space="preserve">Superannuation payable</t>
  </si>
  <si>
    <t xml:space="preserve">Accrued wages</t>
  </si>
  <si>
    <t xml:space="preserve">Provision - annual leave</t>
  </si>
  <si>
    <t xml:space="preserve">GST collected</t>
  </si>
  <si>
    <t xml:space="preserve">Rec_GST</t>
  </si>
  <si>
    <t xml:space="preserve">GST paid (input tax credits)</t>
  </si>
  <si>
    <t xml:space="preserve">Gift card liability</t>
  </si>
  <si>
    <t xml:space="preserve">Borrowings</t>
  </si>
  <si>
    <t xml:space="preserve">Share capital</t>
  </si>
  <si>
    <t xml:space="preserve">Equity</t>
  </si>
  <si>
    <t xml:space="preserve">Financial Controller</t>
  </si>
  <si>
    <t xml:space="preserve">Retained earnings - opening</t>
  </si>
  <si>
    <t xml:space="preserve">Sales - stores</t>
  </si>
  <si>
    <t xml:space="preserve">Revenue</t>
  </si>
  <si>
    <t xml:space="preserve">PL</t>
  </si>
  <si>
    <t xml:space="preserve">Sales - online</t>
  </si>
  <si>
    <t xml:space="preserve">Sales returns and discounts</t>
  </si>
  <si>
    <t xml:space="preserve">Cost of goods sold</t>
  </si>
  <si>
    <t xml:space="preserve">COGS</t>
  </si>
  <si>
    <t xml:space="preserve">Freight inwards</t>
  </si>
  <si>
    <t xml:space="preserve">Inventory shrinkage and provisions</t>
  </si>
  <si>
    <t xml:space="preserve">Wages and salaries - stores</t>
  </si>
  <si>
    <t xml:space="preserve">Expense</t>
  </si>
  <si>
    <t xml:space="preserve">Wages and salaries - head office</t>
  </si>
  <si>
    <t xml:space="preserve">Superannuation expense</t>
  </si>
  <si>
    <t xml:space="preserve">Rent and occupancy</t>
  </si>
  <si>
    <t xml:space="preserve">Marketing</t>
  </si>
  <si>
    <t xml:space="preserve">Depreciation</t>
  </si>
  <si>
    <t xml:space="preserve">IT and software</t>
  </si>
  <si>
    <t xml:space="preserve">IT</t>
  </si>
  <si>
    <t xml:space="preserve">Utilities</t>
  </si>
  <si>
    <t xml:space="preserve">Bank and merchant fees</t>
  </si>
  <si>
    <t xml:space="preserve">Other operating expenses</t>
  </si>
  <si>
    <t xml:space="preserve">Interest expense</t>
  </si>
  <si>
    <t xml:space="preserve">Chart of accounts change log (illustrative entries)</t>
  </si>
  <si>
    <t xml:space="preserve">Date</t>
  </si>
  <si>
    <t xml:space="preserve">Change</t>
  </si>
  <si>
    <t xml:space="preserve">Requested by</t>
  </si>
  <si>
    <t xml:space="preserve">Approved by</t>
  </si>
  <si>
    <t xml:space="preserve">Added 2020 GRNI to separate accrued inventory from general accruals</t>
  </si>
  <si>
    <t xml:space="preserve">Split fit-out and IT equipment into separate cost / accumulated depreciation pairs</t>
  </si>
  <si>
    <t xml:space="preserve">Trial Balance</t>
  </si>
  <si>
    <t xml:space="preserve">Debits positive, credits negative. P&amp;L closing balances are year-to-date; movement = this month's activity</t>
  </si>
  <si>
    <t xml:space="preserve">Prior month closing ($)</t>
  </si>
  <si>
    <t xml:space="preserve">Closing balance ($)</t>
  </si>
  <si>
    <t xml:space="preserve">Month movement ($)</t>
  </si>
  <si>
    <t xml:space="preserve">Month budget ($)</t>
  </si>
  <si>
    <t xml:space="preserve">Prior-year month ($)</t>
  </si>
  <si>
    <t xml:space="preserve">Total (must be nil)</t>
  </si>
  <si>
    <t xml:space="preserve">Notes</t>
  </si>
  <si>
    <t xml:space="preserve">1. All balances are simulated. Cash at bank (1000) closing is set so the TB balances; it is then reconciled to a simulated bank statement on Rec_Bank.</t>
  </si>
  <si>
    <t xml:space="preserve">2. Retained earnings (3100) is the opening balance and is unchanged during the year; P&amp;L accounts hold year-to-date balances.</t>
  </si>
  <si>
    <t xml:space="preserve">3. Budget and prior-year columns are simulated P&amp;L month figures (debit positive).</t>
  </si>
  <si>
    <t xml:space="preserve">Month-End Close Calendar</t>
  </si>
  <si>
    <t xml:space="preserve">Working-day due dates calculated from the period end (weekends excluded; public holidays not modelled)</t>
  </si>
  <si>
    <t xml:space="preserve">Completion:</t>
  </si>
  <si>
    <t xml:space="preserve">Work day</t>
  </si>
  <si>
    <t xml:space="preserve">Due date</t>
  </si>
  <si>
    <t xml:space="preserve">Task</t>
  </si>
  <si>
    <t xml:space="preserve">Linked tab</t>
  </si>
  <si>
    <t xml:space="preserve">Status</t>
  </si>
  <si>
    <t xml:space="preserve">Notes / evidence</t>
  </si>
  <si>
    <t xml:space="preserve">Confirm AP, AR, payroll and inventory subledger cut-off</t>
  </si>
  <si>
    <t xml:space="preserve">AP / AR / Payroll</t>
  </si>
  <si>
    <t xml:space="preserve">-</t>
  </si>
  <si>
    <t xml:space="preserve">Complete</t>
  </si>
  <si>
    <t xml:space="preserve">Cut-off sign-off emailed</t>
  </si>
  <si>
    <t xml:space="preserve">Post daily store sales, card settlement and gift card journals</t>
  </si>
  <si>
    <t xml:space="preserve">Run and post depreciation for all asset classes</t>
  </si>
  <si>
    <t xml:space="preserve">Ties to fixed asset roll-forward</t>
  </si>
  <si>
    <t xml:space="preserve">Post payroll journals (wages, PAYG, super) and leave provision movement</t>
  </si>
  <si>
    <t xml:space="preserve">Post accruals, GRNI and recurring journals</t>
  </si>
  <si>
    <t xml:space="preserve">Post prepayment amortisation</t>
  </si>
  <si>
    <t xml:space="preserve">Bank reconciliation prepared</t>
  </si>
  <si>
    <t xml:space="preserve">AP subledger to GL reconciliation</t>
  </si>
  <si>
    <t xml:space="preserve">AR subledger to GL reconciliation</t>
  </si>
  <si>
    <t xml:space="preserve">Inventory valuation to GL reconciliation; cycle count adjustments</t>
  </si>
  <si>
    <t xml:space="preserve">In progress</t>
  </si>
  <si>
    <t xml:space="preserve">Cycle count adjustment pending</t>
  </si>
  <si>
    <t xml:space="preserve">Intercompany / other receivables review</t>
  </si>
  <si>
    <t xml:space="preserve">GST clearing reconciliation and BAS data extract</t>
  </si>
  <si>
    <t xml:space="preserve">Payroll liabilities reconciliation</t>
  </si>
  <si>
    <t xml:space="preserve">Accruals and prepayments reconciliations</t>
  </si>
  <si>
    <t xml:space="preserve">Post journals identified in reconciliations</t>
  </si>
  <si>
    <t xml:space="preserve">Not started</t>
  </si>
  <si>
    <t xml:space="preserve">Re-run TB; confirm all control checks pass</t>
  </si>
  <si>
    <t xml:space="preserve">P&amp;L flux analysis vs budget and prior year; draft commentary</t>
  </si>
  <si>
    <t xml:space="preserve">Fixed asset register roll-forward agrees to GL</t>
  </si>
  <si>
    <t xml:space="preserve">Reconciliation review by Financial Controller</t>
  </si>
  <si>
    <t xml:space="preserve">Review of variance commentary with operations and supply chain</t>
  </si>
  <si>
    <t xml:space="preserve">Lock period in ERP and issue management accounts pack</t>
  </si>
  <si>
    <t xml:space="preserve">Prepare BAS / IAS for lodgement</t>
  </si>
  <si>
    <t xml:space="preserve">Rolling forecast refresh using actuals</t>
  </si>
  <si>
    <t xml:space="preserve">Forecast</t>
  </si>
  <si>
    <t xml:space="preserve">Close retrospective: log issues and automation opportunities</t>
  </si>
  <si>
    <t xml:space="preserve">Automation</t>
  </si>
  <si>
    <t xml:space="preserve">Balance Sheet Reconciliation Summary</t>
  </si>
  <si>
    <t xml:space="preserve">Links to each reconciliation tab</t>
  </si>
  <si>
    <t xml:space="preserve">Account</t>
  </si>
  <si>
    <t xml:space="preserve">Balance per GL ($)</t>
  </si>
  <si>
    <t xml:space="preserve">Adjusted GL ($)</t>
  </si>
  <si>
    <t xml:space="preserve">Adjusted source ($)</t>
  </si>
  <si>
    <t xml:space="preserve">Difference ($)</t>
  </si>
  <si>
    <t xml:space="preserve">Journals required ($)</t>
  </si>
  <si>
    <t xml:space="preserve">Aged items</t>
  </si>
  <si>
    <t xml:space="preserve">Cash at bank</t>
  </si>
  <si>
    <t xml:space="preserve">Inventory (finished goods and in transit)</t>
  </si>
  <si>
    <t xml:space="preserve">Accrued expenses and GRNI</t>
  </si>
  <si>
    <t xml:space="preserve">GST clearing (net GST payable)</t>
  </si>
  <si>
    <t xml:space="preserve">Payroll liabilities (PAYG, super, accrued wages)</t>
  </si>
  <si>
    <t xml:space="preserve">Total</t>
  </si>
  <si>
    <t xml:space="preserve">Journals required are the GL adjustments identified in reconciliation; post them before the P&amp;L is finalised and re-run the TB.</t>
  </si>
  <si>
    <t xml:space="preserve">Balance Sheet Reconciliation - Cash at bank</t>
  </si>
  <si>
    <t xml:space="preserve">Period end</t>
  </si>
  <si>
    <t xml:space="preserve">GL account 1</t>
  </si>
  <si>
    <t xml:space="preserve">GL account 2</t>
  </si>
  <si>
    <t xml:space="preserve">GL account 3</t>
  </si>
  <si>
    <t xml:space="preserve">Sign factor (1 = debit balance; -1 = credit balance shown positive)</t>
  </si>
  <si>
    <t xml:space="preserve">Balance per GL (TB closing)</t>
  </si>
  <si>
    <t xml:space="preserve">Add / (less): GL adjustments (journals required)</t>
  </si>
  <si>
    <t xml:space="preserve">Adjusted GL balance</t>
  </si>
  <si>
    <t xml:space="preserve">Balance per source:</t>
  </si>
  <si>
    <t xml:space="preserve">Bank statement balance 30-Sep-2026</t>
  </si>
  <si>
    <t xml:space="preserve">Add / (less): timing items (clear next period)</t>
  </si>
  <si>
    <t xml:space="preserve">Adjusted source balance</t>
  </si>
  <si>
    <t xml:space="preserve">Unreconciled difference (adjusted GL less adjusted source)</t>
  </si>
  <si>
    <t xml:space="preserve">Items older than ageing threshold</t>
  </si>
  <si>
    <t xml:space="preserve">Ref</t>
  </si>
  <si>
    <t xml:space="preserve">Description of reconciling item</t>
  </si>
  <si>
    <t xml:space="preserve">Item date</t>
  </si>
  <si>
    <t xml:space="preserve">Amount ($)</t>
  </si>
  <si>
    <t xml:space="preserve">Days open</t>
  </si>
  <si>
    <t xml:space="preserve">Aged?</t>
  </si>
  <si>
    <t xml:space="preserve">Action / owner</t>
  </si>
  <si>
    <t xml:space="preserve">Expected clear</t>
  </si>
  <si>
    <t xml:space="preserve">BNK-01</t>
  </si>
  <si>
    <t xml:space="preserve">Merchant fees per bank statement not yet journalised</t>
  </si>
  <si>
    <t xml:space="preserve">GL adjustment</t>
  </si>
  <si>
    <t xml:space="preserve">Journal: Dr 6150 / Cr 1000 - Treasury</t>
  </si>
  <si>
    <t xml:space="preserve">BNK-02</t>
  </si>
  <si>
    <t xml:space="preserve">Card settlement trading 30-Sep banked 1-Oct (deposit in transit)</t>
  </si>
  <si>
    <t xml:space="preserve">Timing</t>
  </si>
  <si>
    <t xml:space="preserve">Clears 1-Oct - Treasury</t>
  </si>
  <si>
    <t xml:space="preserve">BNK-03</t>
  </si>
  <si>
    <t xml:space="preserve">Supplier EFT batch released 29-Sep, cleared 1-Oct (outstanding payment)</t>
  </si>
  <si>
    <t xml:space="preserve">Clears 1-Oct - AP</t>
  </si>
  <si>
    <t xml:space="preserve">BNK-04</t>
  </si>
  <si>
    <t xml:space="preserve">Unpresented refund payments</t>
  </si>
  <si>
    <t xml:space="preserve">Chase / reverse if stale - Treasury</t>
  </si>
  <si>
    <t xml:space="preserve">Sign-off</t>
  </si>
  <si>
    <t xml:space="preserve">&lt;- reviewer to date on sign-off</t>
  </si>
  <si>
    <t xml:space="preserve">Template notes: 'Timing' items clear on their own next period; 'GL adjustment' items need a journal. Source balance and items are simulated and hardcoded (blue); the difference must be nil.</t>
  </si>
  <si>
    <t xml:space="preserve">Balance Sheet Reconciliation - Trade debtors</t>
  </si>
  <si>
    <t xml:space="preserve">AR subledger aged trial balance</t>
  </si>
  <si>
    <t xml:space="preserve">AR-01</t>
  </si>
  <si>
    <t xml:space="preserve">Credit note CN-4471 in subledger; interface to GL failed</t>
  </si>
  <si>
    <t xml:space="preserve">Journal: Dr 4900 / Cr 1100 - AR</t>
  </si>
  <si>
    <t xml:space="preserve">AR-02</t>
  </si>
  <si>
    <t xml:space="preserve">Customer remittance banked 30-Sep, applied in subledger 1-Oct</t>
  </si>
  <si>
    <t xml:space="preserve">Clears 1-Oct - AR</t>
  </si>
  <si>
    <t xml:space="preserve">Balance Sheet Reconciliation - Trade creditors</t>
  </si>
  <si>
    <t xml:space="preserve">AP subledger creditor listing</t>
  </si>
  <si>
    <t xml:space="preserve">AP-01</t>
  </si>
  <si>
    <t xml:space="preserve">Invoice INV-88231 in AP subledger; GL interface error</t>
  </si>
  <si>
    <t xml:space="preserve">Re-run interface / manual journal - AP</t>
  </si>
  <si>
    <t xml:space="preserve">AP-02</t>
  </si>
  <si>
    <t xml:space="preserve">Supplier debit note recorded in GL 30-Sep, subledger 1-Oct</t>
  </si>
  <si>
    <t xml:space="preserve">Balance Sheet Reconciliation - Inventory (finished goods and in transit)</t>
  </si>
  <si>
    <t xml:space="preserve">WMS valuation plus shipping report</t>
  </si>
  <si>
    <t xml:space="preserve">INV-01</t>
  </si>
  <si>
    <t xml:space="preserve">Q1 cycle count variance; stock adjustment not yet posted</t>
  </si>
  <si>
    <t xml:space="preserve">Journal: Dr 5020 / Cr 1200 - Supply Chain Finance</t>
  </si>
  <si>
    <t xml:space="preserve">INV-02</t>
  </si>
  <si>
    <t xml:space="preserve">Receipts in GL 30-Sep, booked in WMS 1-Oct</t>
  </si>
  <si>
    <t xml:space="preserve">Clears 1-Oct - Supply Chain</t>
  </si>
  <si>
    <t xml:space="preserve">Balance Sheet Reconciliation - Accrued expenses and GRNI</t>
  </si>
  <si>
    <t xml:space="preserve">Accruals and GRNI schedule</t>
  </si>
  <si>
    <t xml:space="preserve">ACC-01</t>
  </si>
  <si>
    <t xml:space="preserve">Rent accrual reversal not posted for September</t>
  </si>
  <si>
    <t xml:space="preserve">Journal: Dr 2010 / Cr 6100 - Financial Accountant</t>
  </si>
  <si>
    <t xml:space="preserve">ACC-02</t>
  </si>
  <si>
    <t xml:space="preserve">Accrual raised 30-Sep after schedule cut-off</t>
  </si>
  <si>
    <t xml:space="preserve">Added to schedule 1-Oct</t>
  </si>
  <si>
    <t xml:space="preserve">Balance Sheet Reconciliation - Prepayments</t>
  </si>
  <si>
    <t xml:space="preserve">Prepayment amortisation schedule</t>
  </si>
  <si>
    <t xml:space="preserve">PRE-01</t>
  </si>
  <si>
    <t xml:space="preserve">September insurance amortisation not booked</t>
  </si>
  <si>
    <t xml:space="preserve">Journal: Dr 6160 / Cr 1300 - Financial Accountant</t>
  </si>
  <si>
    <t xml:space="preserve">PRE-02</t>
  </si>
  <si>
    <t xml:space="preserve">Licence prepayment added to schedule 1-Oct, in GL 30-Sep</t>
  </si>
  <si>
    <t xml:space="preserve">Clears 1-Oct</t>
  </si>
  <si>
    <t xml:space="preserve">Balance Sheet Reconciliation - GST clearing (net GST payable)</t>
  </si>
  <si>
    <t xml:space="preserve">BAS_IAS tab: net GST payable (1A less 1B)</t>
  </si>
  <si>
    <t xml:space="preserve">GST-01</t>
  </si>
  <si>
    <t xml:space="preserve">GST on petty cash and card purchases not coded in GL</t>
  </si>
  <si>
    <t xml:space="preserve">Journal: Dr 2310 / Cr 6160 - Financial Accountant</t>
  </si>
  <si>
    <t xml:space="preserve">GST-02</t>
  </si>
  <si>
    <t xml:space="preserve">Online sales cut-off difference between POS and GL</t>
  </si>
  <si>
    <t xml:space="preserve">Confirm in BAS review</t>
  </si>
  <si>
    <t xml:space="preserve">Balance Sheet Reconciliation - Payroll liabilities (PAYG, super, accrued wages)</t>
  </si>
  <si>
    <t xml:space="preserve">Payroll system liabilities report</t>
  </si>
  <si>
    <t xml:space="preserve">PAY-01</t>
  </si>
  <si>
    <t xml:space="preserve">Super contributions paid 29-Sep (SuperStream) not journalised</t>
  </si>
  <si>
    <t xml:space="preserve">Journal: Dr 2110 / Cr 1000 - Payroll</t>
  </si>
  <si>
    <t xml:space="preserve">PAY-02</t>
  </si>
  <si>
    <t xml:space="preserve">Termination payout calculated 30-Sep, paid 2-Oct</t>
  </si>
  <si>
    <t xml:space="preserve">Clears 2-Oct - Payroll</t>
  </si>
  <si>
    <t xml:space="preserve">P&amp;L Flux Analysis - Month Actual vs Budget vs Prior Year</t>
  </si>
  <si>
    <t xml:space="preserve">Presented with revenue positive; variances shown favourable / (unfavourable)</t>
  </si>
  <si>
    <t xml:space="preserve">Line</t>
  </si>
  <si>
    <t xml:space="preserve">Actual ($)</t>
  </si>
  <si>
    <t xml:space="preserve">Budget ($)</t>
  </si>
  <si>
    <t xml:space="preserve">Var vs budget ($)</t>
  </si>
  <si>
    <t xml:space="preserve">Var %</t>
  </si>
  <si>
    <t xml:space="preserve">Prior year ($)</t>
  </si>
  <si>
    <t xml:space="preserve">Var vs PY %</t>
  </si>
  <si>
    <t xml:space="preserve">Flag</t>
  </si>
  <si>
    <t xml:space="preserve">Commentary (drivers and actions)</t>
  </si>
  <si>
    <t xml:space="preserve">DRAFT. Returns and discounts $1.95m vs $1.80m budget: 3.7% of gross sales vs 3.5% budget and 3.7% prior year, so the rate is in line with last year but above plan. Confirm promotional discount depth with Retail. Credit note CN-4471 ($12.6k, AR-01) is not yet in the GL and will add to this line.</t>
  </si>
  <si>
    <t xml:space="preserve">Net sales</t>
  </si>
  <si>
    <t xml:space="preserve">DRAFT. Freight inwards $0.10m (6%) over budget; 3.4% of net sales vs 3.2% budget. Likely inbound container rates and online parcel mix. Confirm with Supply Chain whether the rate is a one-off or run-rate before the forecast refresh.</t>
  </si>
  <si>
    <t xml:space="preserve">DRAFT. Shrinkage $70k over budget, below the explain threshold. Q1 cycle count variance of $265k (INV-01) is not yet posted; once journalled shrinkage becomes about $685k vs $350k budget and will need explanation. Supply Chain Finance to confirm store split.</t>
  </si>
  <si>
    <t xml:space="preserve">Total cost of goods sold</t>
  </si>
  <si>
    <t xml:space="preserve">Gross profit</t>
  </si>
  <si>
    <t xml:space="preserve">Gross margin %</t>
  </si>
  <si>
    <t xml:space="preserve">DRAFT. Marketing $350k (12%) over budget at 6.7% of net sales vs 6.0% budget, while online sales finished $600k (4%) under budget. Spend has not converted to plan. Ask Marketing for campaign-level return and whether the overspend is phasing or incremental.</t>
  </si>
  <si>
    <t xml:space="preserve">Total operating expenses (before depreciation)</t>
  </si>
  <si>
    <t xml:space="preserve">EBITDA</t>
  </si>
  <si>
    <t xml:space="preserve">DRAFT. EBITDA $1.41m (24%) below budget. Gross profit is $0.62m short (net sales $0.15m under and gross margin 56.7% vs 57.8% budget) and operating expenses $0.79m over, led by marketing ($350k) and store wages ($200k). Up 38% on prior year on 12% sales growth.</t>
  </si>
  <si>
    <t xml:space="preserve">EBIT</t>
  </si>
  <si>
    <t xml:space="preserve">DRAFT. EBIT $1.46m below budget; the EBITDA shortfall plus depreciation $50k over budget, in line with $2.1m of September additions (FA_Register).</t>
  </si>
  <si>
    <t xml:space="preserve">Net profit before tax</t>
  </si>
  <si>
    <t xml:space="preserve">DRAFT. NPBT $2.12m vs $3.57m budget and $1.00m prior year. This is pre-journal: the GL adjustments on Rec_Summary (merchant fees, cycle count, rent accrual reversal, insurance, GST coding, CN-4471) net to about a $0.13m reduction in NPBT, before coding of AP-01 ($31k).</t>
  </si>
  <si>
    <t xml:space="preserve">Flag logic: 'Explain' appears when the variance to budget exceeds BOTH the $ and % thresholds on the Inputs tab. Commentary cells (yellow) are for the preparer to complete.</t>
  </si>
  <si>
    <t xml:space="preserve">Fixed Asset Register and Roll-Forward</t>
  </si>
  <si>
    <t xml:space="preserve">Month movement ties to the TB, the P&amp;L depreciation charge and the BAS capital purchases</t>
  </si>
  <si>
    <t xml:space="preserve">Tax rate for deferred tax</t>
  </si>
  <si>
    <t xml:space="preserve">Simulated input; use the entity's applicable corporate tax rate</t>
  </si>
  <si>
    <t xml:space="preserve">Asset ID</t>
  </si>
  <si>
    <t xml:space="preserve">Description</t>
  </si>
  <si>
    <t xml:space="preserve">Class</t>
  </si>
  <si>
    <t xml:space="preserve">GL cost a/c</t>
  </si>
  <si>
    <t xml:space="preserve">GL acc dep a/c</t>
  </si>
  <si>
    <t xml:space="preserve">Life (months)</t>
  </si>
  <si>
    <t xml:space="preserve">Opening cost ($)</t>
  </si>
  <si>
    <t xml:space="preserve">Additions ($)</t>
  </si>
  <si>
    <t xml:space="preserve">Disposals - cost ($)</t>
  </si>
  <si>
    <t xml:space="preserve">Closing cost ($)</t>
  </si>
  <si>
    <t xml:space="preserve">Opening acc dep ($)</t>
  </si>
  <si>
    <t xml:space="preserve">Depreciation ($)</t>
  </si>
  <si>
    <t xml:space="preserve">Acc dep on disposals ($)</t>
  </si>
  <si>
    <t xml:space="preserve">Closing acc dep ($)</t>
  </si>
  <si>
    <t xml:space="preserve">Closing NBV ($)</t>
  </si>
  <si>
    <t xml:space="preserve">Tax rate % pa</t>
  </si>
  <si>
    <t xml:space="preserve">Opening tax WDV ($)</t>
  </si>
  <si>
    <t xml:space="preserve">Tax depreciation ($)</t>
  </si>
  <si>
    <t xml:space="preserve">Closing tax WDV ($)</t>
  </si>
  <si>
    <t xml:space="preserve">Temporary difference ($)</t>
  </si>
  <si>
    <t xml:space="preserve">FA-001</t>
  </si>
  <si>
    <t xml:space="preserve">Metro store fit-outs</t>
  </si>
  <si>
    <t xml:space="preserve">Fit-out</t>
  </si>
  <si>
    <t xml:space="preserve">FA-002</t>
  </si>
  <si>
    <t xml:space="preserve">Regional store fit-outs</t>
  </si>
  <si>
    <t xml:space="preserve">FA-003</t>
  </si>
  <si>
    <t xml:space="preserve">Distribution centre racking and automation</t>
  </si>
  <si>
    <t xml:space="preserve">FA-004</t>
  </si>
  <si>
    <t xml:space="preserve">Capital work in progress: new store fit-outs (not depreciated)</t>
  </si>
  <si>
    <t xml:space="preserve">FA-101</t>
  </si>
  <si>
    <t xml:space="preserve">POS and store hardware</t>
  </si>
  <si>
    <t xml:space="preserve">FA-102</t>
  </si>
  <si>
    <t xml:space="preserve">Servers, network and infrastructure</t>
  </si>
  <si>
    <t xml:space="preserve">GL tie-out</t>
  </si>
  <si>
    <t xml:space="preserve">Tie-out</t>
  </si>
  <si>
    <t xml:space="preserve">GL account(s)</t>
  </si>
  <si>
    <t xml:space="preserve">Per register ($)</t>
  </si>
  <si>
    <t xml:space="preserve">Per GL ($)</t>
  </si>
  <si>
    <t xml:space="preserve">Closing cost: fit-out</t>
  </si>
  <si>
    <t xml:space="preserve">1500</t>
  </si>
  <si>
    <t xml:space="preserve">Closing cost: IT equipment</t>
  </si>
  <si>
    <t xml:space="preserve">1505</t>
  </si>
  <si>
    <t xml:space="preserve">Closing accumulated depreciation: fit-out</t>
  </si>
  <si>
    <t xml:space="preserve">1510</t>
  </si>
  <si>
    <t xml:space="preserve">Closing accumulated depreciation: IT equipment</t>
  </si>
  <si>
    <t xml:space="preserve">1515</t>
  </si>
  <si>
    <t xml:space="preserve">Opening cost vs prior month TB</t>
  </si>
  <si>
    <t xml:space="preserve">1500 + 1505</t>
  </si>
  <si>
    <t xml:space="preserve">Opening accumulated depreciation vs prior month TB</t>
  </si>
  <si>
    <t xml:space="preserve">1510 + 1515</t>
  </si>
  <si>
    <t xml:space="preserve">Additions: fit-out vs TB movement</t>
  </si>
  <si>
    <t xml:space="preserve">Additions: IT equipment vs TB movement</t>
  </si>
  <si>
    <t xml:space="preserve">Depreciation charge vs P&amp;L</t>
  </si>
  <si>
    <t xml:space="preserve">6120</t>
  </si>
  <si>
    <t xml:space="preserve">Additions vs BAS capital purchases (ex GST)</t>
  </si>
  <si>
    <t xml:space="preserve">BAS_IAS G10</t>
  </si>
  <si>
    <t xml:space="preserve">Sum of absolute differences</t>
  </si>
  <si>
    <t xml:space="preserve">Net book value roll-forward</t>
  </si>
  <si>
    <t xml:space="preserve">Opening NBV</t>
  </si>
  <si>
    <t xml:space="preserve">Add: additions</t>
  </si>
  <si>
    <t xml:space="preserve">Less: depreciation</t>
  </si>
  <si>
    <t xml:space="preserve">Less: NBV of disposals</t>
  </si>
  <si>
    <t xml:space="preserve">Closing NBV</t>
  </si>
  <si>
    <t xml:space="preserve">Check: agrees to register closing NBV (difference)</t>
  </si>
  <si>
    <t xml:space="preserve">Book vs tax (informational)</t>
  </si>
  <si>
    <t xml:space="preserve">Closing book NBV</t>
  </si>
  <si>
    <t xml:space="preserve">Closing tax written-down value</t>
  </si>
  <si>
    <t xml:space="preserve">Taxable temporary difference</t>
  </si>
  <si>
    <t xml:space="preserve">Deferred tax liability on the difference</t>
  </si>
  <si>
    <t xml:space="preserve">Notes and conventions</t>
  </si>
  <si>
    <t xml:space="preserve">1. Straight-line depreciation on closing cost, full month charged in the month of addition; capped so NBV never goes below nil.</t>
  </si>
  <si>
    <t xml:space="preserve">2. Capital work in progress (life 0) is not depreciated until transferred to a depreciating class.</t>
  </si>
  <si>
    <t xml:space="preserve">3. No disposals this month; disposal columns are in place and flow through the roll-forward. BAS G10 assumes no disposals.</t>
  </si>
  <si>
    <t xml:space="preserve">4. Tax depreciation is a simplified diminishing-value illustration on simulated rates, not ATO effective-life or instant asset write-off treatment.</t>
  </si>
  <si>
    <t xml:space="preserve">5. The deferred tax liability is informational: the simulated TB has no deferred tax accounts.</t>
  </si>
  <si>
    <t xml:space="preserve">6. All asset balances, lives and tax rates are simulated and chosen so the register ties to the simulated TB.</t>
  </si>
  <si>
    <t xml:space="preserve">Business Activity Statement (monthly) and IAS Workings</t>
  </si>
  <si>
    <t xml:space="preserve">Lodgement and payment due</t>
  </si>
  <si>
    <t xml:space="preserve">Monthly lodgers: 21st of the following month. Confirm against ATO key dates (weekends, concessions).</t>
  </si>
  <si>
    <t xml:space="preserve">Taxable sales reconciliation</t>
  </si>
  <si>
    <t xml:space="preserve">Source / basis</t>
  </si>
  <si>
    <t xml:space="preserve">S1</t>
  </si>
  <si>
    <t xml:space="preserve">Net sales per P&amp;L (ex GST)</t>
  </si>
  <si>
    <t xml:space="preserve">Variance tab, net sales actual</t>
  </si>
  <si>
    <t xml:space="preserve">S2</t>
  </si>
  <si>
    <t xml:space="preserve">Less: online orders dispatched after midnight 30-Sep (GST attributed to October)</t>
  </si>
  <si>
    <t xml:space="preserve">Simulated cut-off item; flows to Rec_GST timing item</t>
  </si>
  <si>
    <t xml:space="preserve">S3</t>
  </si>
  <si>
    <t xml:space="preserve">Less: GST-free and input-taxed sales</t>
  </si>
  <si>
    <t xml:space="preserve">None assumed for homewares retail (simulated)</t>
  </si>
  <si>
    <t xml:space="preserve">S4</t>
  </si>
  <si>
    <t xml:space="preserve">Taxable sales (ex GST)</t>
  </si>
  <si>
    <t xml:space="preserve">BAS label</t>
  </si>
  <si>
    <t xml:space="preserve">G1</t>
  </si>
  <si>
    <t xml:space="preserve">Total sales and other income (incl GST)</t>
  </si>
  <si>
    <t xml:space="preserve">Taxable sales x (1 + GST rate) + GST-free sales</t>
  </si>
  <si>
    <t xml:space="preserve">G2</t>
  </si>
  <si>
    <t xml:space="preserve">Export sales</t>
  </si>
  <si>
    <t xml:space="preserve">None (simulated)</t>
  </si>
  <si>
    <t xml:space="preserve">G3</t>
  </si>
  <si>
    <t xml:space="preserve">Other GST-free sales</t>
  </si>
  <si>
    <t xml:space="preserve">From S3</t>
  </si>
  <si>
    <t xml:space="preserve">G10</t>
  </si>
  <si>
    <t xml:space="preserve">Capital purchases (incl GST)</t>
  </si>
  <si>
    <t xml:space="preserve">Cost additions per TB movement (1500, 1505) x (1 + rate); assumes no disposals</t>
  </si>
  <si>
    <t xml:space="preserve">G11</t>
  </si>
  <si>
    <t xml:space="preserve">Non-capital purchases (incl GST)</t>
  </si>
  <si>
    <t xml:space="preserve">Creditable purchases ex GST (input below) x (1 + rate)</t>
  </si>
  <si>
    <t xml:space="preserve">Input</t>
  </si>
  <si>
    <t xml:space="preserve">Creditable non-capital purchases (ex GST)</t>
  </si>
  <si>
    <t xml:space="preserve">Simulated AP / GL purchases report; replace with extract</t>
  </si>
  <si>
    <t xml:space="preserve">1A</t>
  </si>
  <si>
    <t xml:space="preserve">GST on sales</t>
  </si>
  <si>
    <t xml:space="preserve">(G1 - G2 - G3) x rate / (1 + rate)</t>
  </si>
  <si>
    <t xml:space="preserve">1B</t>
  </si>
  <si>
    <t xml:space="preserve">GST on purchases (input tax credits)</t>
  </si>
  <si>
    <t xml:space="preserve">(G10 + G11) x rate / (1 + rate)</t>
  </si>
  <si>
    <t xml:space="preserve">Net GST payable (1A less 1B)</t>
  </si>
  <si>
    <t xml:space="preserve">W1</t>
  </si>
  <si>
    <t xml:space="preserve">Total salary, wages and other payments</t>
  </si>
  <si>
    <t xml:space="preserve">Wages expense (6000 + 6010) less non-cash increases in accrued wages (2120) and leave provision (2130)</t>
  </si>
  <si>
    <t xml:space="preserve">W2</t>
  </si>
  <si>
    <t xml:space="preserve">Amount withheld from payments</t>
  </si>
  <si>
    <t xml:space="preserve">PAYG withholding payable per GL (2100); prior month assumed remitted</t>
  </si>
  <si>
    <t xml:space="preserve">Total payable to ATO (net GST + PAYG withholding)</t>
  </si>
  <si>
    <t xml:space="preserve">Illustrative summary: confirm field mapping and any other labels (e.g. PAYG instalments) against the current ATO BAS form before lodgement.</t>
  </si>
  <si>
    <t xml:space="preserve">BAS to GL reconciliation</t>
  </si>
  <si>
    <t xml:space="preserve">Explanation of difference</t>
  </si>
  <si>
    <t xml:space="preserve">Per BAS ($)</t>
  </si>
  <si>
    <t xml:space="preserve">Explained ($)</t>
  </si>
  <si>
    <t xml:space="preserve">Unexplained ($)</t>
  </si>
  <si>
    <t xml:space="preserve">R1</t>
  </si>
  <si>
    <t xml:space="preserve">GST collected (1A)</t>
  </si>
  <si>
    <t xml:space="preserve">Online sales cut-off: GST on S2 attributed to October</t>
  </si>
  <si>
    <t xml:space="preserve">R2</t>
  </si>
  <si>
    <t xml:space="preserve">GST paid (1B)</t>
  </si>
  <si>
    <t xml:space="preserve">GST on petty cash / card purchases not coded in GL (journal on Rec_GST, GST-01)</t>
  </si>
  <si>
    <t xml:space="preserve">R3</t>
  </si>
  <si>
    <t xml:space="preserve">PAYG withholding (W2)</t>
  </si>
  <si>
    <t xml:space="preserve">GL payable agrees to W2</t>
  </si>
  <si>
    <t xml:space="preserve">Analytical review</t>
  </si>
  <si>
    <t xml:space="preserve">Basis</t>
  </si>
  <si>
    <t xml:space="preserve">Effective GST rate on taxable sales</t>
  </si>
  <si>
    <t xml:space="preserve">1A / taxable sales; expect the GST rate</t>
  </si>
  <si>
    <t xml:space="preserve">Input tax credits as % of GST on sales</t>
  </si>
  <si>
    <t xml:space="preserve">1B / 1A</t>
  </si>
  <si>
    <t xml:space="preserve">PAYG withheld as % of salary and wages</t>
  </si>
  <si>
    <t xml:space="preserve">W2 / W1</t>
  </si>
  <si>
    <t xml:space="preserve">BAS taxable sales vs P&amp;L net sales</t>
  </si>
  <si>
    <t xml:space="preserve">Explained by the cut-off item S2</t>
  </si>
  <si>
    <t xml:space="preserve">IAS workings - entity not registered for GST (simulated property holding entity)</t>
  </si>
  <si>
    <t xml:space="preserve">Item</t>
  </si>
  <si>
    <t xml:space="preserve">Simulated payroll</t>
  </si>
  <si>
    <t xml:space="preserve">Simulated</t>
  </si>
  <si>
    <t xml:space="preserve">PAYG instalment income</t>
  </si>
  <si>
    <t xml:space="preserve">Simulated rental income for the month</t>
  </si>
  <si>
    <t xml:space="preserve">PAYG instalment rate</t>
  </si>
  <si>
    <t xml:space="preserve">Simulated; in practice the ATO notifies the rate</t>
  </si>
  <si>
    <t xml:space="preserve">PAYG instalment payable</t>
  </si>
  <si>
    <t xml:space="preserve">Total payable to ATO (IAS)</t>
  </si>
  <si>
    <t xml:space="preserve">Lodged on</t>
  </si>
  <si>
    <t xml:space="preserve">Fringe Benefits Tax - FBT Year Schedule</t>
  </si>
  <si>
    <t xml:space="preserve">FBT year runs 1 April to 31 March. Schedule shows projected full-year benefits with an accrual to period end.</t>
  </si>
  <si>
    <t xml:space="preserve">FBT year start</t>
  </si>
  <si>
    <t xml:space="preserve">FBT year end</t>
  </si>
  <si>
    <t xml:space="preserve">Days in FBT year</t>
  </si>
  <si>
    <t xml:space="preserve">Months of FBT year elapsed at period end</t>
  </si>
  <si>
    <t xml:space="preserve">FBT rate</t>
  </si>
  <si>
    <t xml:space="preserve">ATO FBT rates and thresholds: 47% for FBT years ending 31 Mar 2023 to 2027 (checked 9-Oct-2026)</t>
  </si>
  <si>
    <t xml:space="preserve">Type 1 gross-up rate (GST credit entitled)</t>
  </si>
  <si>
    <t xml:space="preserve">ATO: 2.0802 for FBT years ending 31 Mar 2023 to 2027</t>
  </si>
  <si>
    <t xml:space="preserve">Type 2 gross-up rate (no GST credit)</t>
  </si>
  <si>
    <t xml:space="preserve">ATO: 1.8868 for FBT years ending 31 Mar 2023 to 2027</t>
  </si>
  <si>
    <t xml:space="preserve">Car statutory fraction (flat rate)</t>
  </si>
  <si>
    <t xml:space="preserve">Statutory formula method, flat 20% regardless of distance</t>
  </si>
  <si>
    <t xml:space="preserve">Meal entertainment: 50/50 split method</t>
  </si>
  <si>
    <t xml:space="preserve">Taxable value = 50% of actual expenditure</t>
  </si>
  <si>
    <t xml:space="preserve">Reportable fringe benefits threshold ($)</t>
  </si>
  <si>
    <t xml:space="preserve">Grossed-up (Type 2) value above this is reported for the employee; verify threshold each year</t>
  </si>
  <si>
    <t xml:space="preserve">FBT return lodgement due</t>
  </si>
  <si>
    <t xml:space="preserve">Verify against ATO key dates (tax agent lodgement program can differ)</t>
  </si>
  <si>
    <t xml:space="preserve">FBT payment due</t>
  </si>
  <si>
    <t xml:space="preserve">Verify against ATO key dates</t>
  </si>
  <si>
    <t xml:space="preserve">Employee</t>
  </si>
  <si>
    <t xml:space="preserve">Benefit</t>
  </si>
  <si>
    <t xml:space="preserve">Cost / base value ($)</t>
  </si>
  <si>
    <t xml:space="preserve">Days</t>
  </si>
  <si>
    <t xml:space="preserve">Basis %</t>
  </si>
  <si>
    <t xml:space="preserve">Employee contribution ($)</t>
  </si>
  <si>
    <t xml:space="preserve">Taxable value ($)</t>
  </si>
  <si>
    <t xml:space="preserve">Gross-up rate</t>
  </si>
  <si>
    <t xml:space="preserve">Grossed-up value ($)</t>
  </si>
  <si>
    <t xml:space="preserve">FBT payable ($)</t>
  </si>
  <si>
    <t xml:space="preserve">Employee-specific (Y/N)</t>
  </si>
  <si>
    <t xml:space="preserve">Reportable amount ($)</t>
  </si>
  <si>
    <t xml:space="preserve">Report?</t>
  </si>
  <si>
    <t xml:space="preserve">FB-01</t>
  </si>
  <si>
    <t xml:space="preserve">Employee A</t>
  </si>
  <si>
    <t xml:space="preserve">Car fringe benefit (statutory formula)</t>
  </si>
  <si>
    <t xml:space="preserve">Y</t>
  </si>
  <si>
    <t xml:space="preserve">FB-02</t>
  </si>
  <si>
    <t xml:space="preserve">Employee B</t>
  </si>
  <si>
    <t xml:space="preserve">Car fringe benefit (statutory formula), part year</t>
  </si>
  <si>
    <t xml:space="preserve">FB-03</t>
  </si>
  <si>
    <t xml:space="preserve">Employee C</t>
  </si>
  <si>
    <t xml:space="preserve">FB-04</t>
  </si>
  <si>
    <t xml:space="preserve">Employee D</t>
  </si>
  <si>
    <t xml:space="preserve">Expense payment benefit: wellbeing reimbursements</t>
  </si>
  <si>
    <t xml:space="preserve">FB-05</t>
  </si>
  <si>
    <t xml:space="preserve">Various</t>
  </si>
  <si>
    <t xml:space="preserve">Meal entertainment (50/50 split method)</t>
  </si>
  <si>
    <t xml:space="preserve">N</t>
  </si>
  <si>
    <t xml:space="preserve">FB-06</t>
  </si>
  <si>
    <t xml:space="preserve">Other expense payment benefits (no GST credit)</t>
  </si>
  <si>
    <t xml:space="preserve">FBT summary</t>
  </si>
  <si>
    <t xml:space="preserve">Type 1 taxable value</t>
  </si>
  <si>
    <t xml:space="preserve">Type 1 grossed-up value</t>
  </si>
  <si>
    <t xml:space="preserve">Type 2 taxable value</t>
  </si>
  <si>
    <t xml:space="preserve">Type 2 grossed-up value</t>
  </si>
  <si>
    <t xml:space="preserve">Total grossed-up value</t>
  </si>
  <si>
    <t xml:space="preserve">FBT payable: projected full FBT year</t>
  </si>
  <si>
    <t xml:space="preserve">Check: summary agrees to schedule total (difference)</t>
  </si>
  <si>
    <t xml:space="preserve">FBT accrued to period end (months elapsed / 12)</t>
  </si>
  <si>
    <t xml:space="preserve">Less: FBT accrued in GL at period end</t>
  </si>
  <si>
    <t xml:space="preserve">No FBT accrual account exists in the simulated TB</t>
  </si>
  <si>
    <t xml:space="preserve">Proposed accrual journal (not posted): Dr FBT expense / Cr FBT payable</t>
  </si>
  <si>
    <t xml:space="preserve">Employees with reportable fringe benefits amounts</t>
  </si>
  <si>
    <t xml:space="preserve">Notes and judgements</t>
  </si>
  <si>
    <t xml:space="preserve">1. Type 1 vs Type 2 depends on whether a GST credit was claimed on the benefit: keep the tax invoice and credit evidence on file.</t>
  </si>
  <si>
    <t xml:space="preserve">2. Gross-up first, then apply the 47% rate. Applying the rate to the raw taxable value understates FBT.</t>
  </si>
  <si>
    <t xml:space="preserve">3. Reportable fringe benefits amounts use the Type 2 gross-up rate even for Type 1 benefits.</t>
  </si>
  <si>
    <t xml:space="preserve">4. Exempt benefits (for example eligible electric cars and minor benefits) are excluded here: document the exemption basis for each before omitting.</t>
  </si>
  <si>
    <t xml:space="preserve">5. Employee contributions must be after-tax and supported by declarations. Cars use the statutory formula method; operating cost method not modelled.</t>
  </si>
  <si>
    <t xml:space="preserve">6. Posting the proposed accrual needs new FBT payable and expense accounts in the chart; it is not in the simulated TB so the close controls are unaffected.</t>
  </si>
  <si>
    <t xml:space="preserve">Payroll Oversight</t>
  </si>
  <si>
    <t xml:space="preserve">Status: built. Payroll register figures and parameters are simulated inputs (blue); everything else links to TB, BAS_IAS and Rec_Payroll.</t>
  </si>
  <si>
    <t xml:space="preserve">1. Payroll parameters</t>
  </si>
  <si>
    <t xml:space="preserve">Parameter</t>
  </si>
  <si>
    <t xml:space="preserve">Basis / source</t>
  </si>
  <si>
    <t xml:space="preserve">Super guarantee rate (on qualifying earnings)</t>
  </si>
  <si>
    <t xml:space="preserve">ATO: 12% of qualifying earnings; Payday Super applies from 1 July 2026 (checked 9-Oct-2026)</t>
  </si>
  <si>
    <t xml:space="preserve">Qualifying earnings as share of gross wages</t>
  </si>
  <si>
    <t xml:space="preserve">Simplified: all gross wages treated as qualifying earnings</t>
  </si>
  <si>
    <t xml:space="preserve">PAYG effective withholding rate: lower bound</t>
  </si>
  <si>
    <t xml:space="preserve">Simulated analytical range for a mixed full-time / part-time / casual retail workforce</t>
  </si>
  <si>
    <t xml:space="preserve">PAYG effective withholding rate: upper bound</t>
  </si>
  <si>
    <t xml:space="preserve">Simulated analytical range</t>
  </si>
  <si>
    <t xml:space="preserve">Payday Super window: max calendar days of super expense unpaid at period end</t>
  </si>
  <si>
    <t xml:space="preserve">7 business days after payday is roughly 9-10 calendar days</t>
  </si>
  <si>
    <t xml:space="preserve">From Inputs tab</t>
  </si>
  <si>
    <t xml:space="preserve">Average FTE: stores</t>
  </si>
  <si>
    <t xml:space="preserve">Simulated headcount</t>
  </si>
  <si>
    <t xml:space="preserve">Average FTE: head office</t>
  </si>
  <si>
    <t xml:space="preserve">2. Payroll register to GL journal (September pay periods)</t>
  </si>
  <si>
    <t xml:space="preserve">Journal line</t>
  </si>
  <si>
    <t xml:space="preserve">GL a/c</t>
  </si>
  <si>
    <t xml:space="preserve">Debit ($)</t>
  </si>
  <si>
    <t xml:space="preserve">Credit ($)</t>
  </si>
  <si>
    <t xml:space="preserve">Per GL month movement ($)</t>
  </si>
  <si>
    <t xml:space="preserve">Note</t>
  </si>
  <si>
    <t xml:space="preserve">Gross wages: stores</t>
  </si>
  <si>
    <t xml:space="preserve">Register gross by cost centre (simulated)</t>
  </si>
  <si>
    <t xml:space="preserve">Gross wages: head office</t>
  </si>
  <si>
    <t xml:space="preserve">Superannuation expense (qualifying earnings x SG rate)</t>
  </si>
  <si>
    <t xml:space="preserve">Calculated, then compared to GL; a difference means a rate or base error</t>
  </si>
  <si>
    <t xml:space="preserve">Withheld per register (simulated); liability roll in section 5</t>
  </si>
  <si>
    <t xml:space="preserve">Net pay to bank / payroll clearing</t>
  </si>
  <si>
    <t xml:space="preserve">Gross wages less PAYG withheld; no other deductions assumed</t>
  </si>
  <si>
    <t xml:space="preserve">3. PAYG withholding and BAS tie-out</t>
  </si>
  <si>
    <t xml:space="preserve">Check</t>
  </si>
  <si>
    <t xml:space="preserve">Per payroll register ($)</t>
  </si>
  <si>
    <t xml:space="preserve">Per BAS / GL ($)</t>
  </si>
  <si>
    <t xml:space="preserve">W1: salary and wages (gross less non-cash increase in accrued wages and leave)</t>
  </si>
  <si>
    <t xml:space="preserve">W2: amount withheld from payments</t>
  </si>
  <si>
    <t xml:space="preserve">Effective PAYG rate: withheld / gross wages (expected range in section 1)</t>
  </si>
  <si>
    <t xml:space="preserve">4. Superannuation guarantee check (Payday Super)</t>
  </si>
  <si>
    <t xml:space="preserve">Qualifying earnings (gross wages x qualifying share)</t>
  </si>
  <si>
    <t xml:space="preserve">Expected super guarantee (qualifying earnings x SG rate)</t>
  </si>
  <si>
    <t xml:space="preserve">Super expense per GL (6020 month movement)</t>
  </si>
  <si>
    <t xml:space="preserve">Difference</t>
  </si>
  <si>
    <t xml:space="preserve">Super payable per GL (2110, liability shown positive)</t>
  </si>
  <si>
    <t xml:space="preserve">Super payable as calendar days of super expense</t>
  </si>
  <si>
    <t xml:space="preserve">Payday Super: contributions must reach the fund within 7 business days of payday</t>
  </si>
  <si>
    <t xml:space="preserve">Super payments made but not yet journalised (Rec_Payroll PAY-01)</t>
  </si>
  <si>
    <t xml:space="preserve">Journal pending: Dr 2110 / Cr 1000. Super payable per GL is overstated until posted.</t>
  </si>
  <si>
    <t xml:space="preserve">5. Payroll liabilities: GL to payroll system report</t>
  </si>
  <si>
    <t xml:space="preserve">Per payroll system ($)</t>
  </si>
  <si>
    <t xml:space="preserve">Explained: GL adjustment ($)</t>
  </si>
  <si>
    <t xml:space="preserve">Explained: timing ($)</t>
  </si>
  <si>
    <t xml:space="preserve">Reference</t>
  </si>
  <si>
    <t xml:space="preserve">2100 PAYG withholding payable</t>
  </si>
  <si>
    <t xml:space="preserve">Agrees</t>
  </si>
  <si>
    <t xml:space="preserve">2110 Superannuation payable</t>
  </si>
  <si>
    <t xml:space="preserve">PAY-01: super paid 29-Sep (SuperStream) not journalised</t>
  </si>
  <si>
    <t xml:space="preserve">2120 Accrued wages</t>
  </si>
  <si>
    <t xml:space="preserve">PAY-02: termination payout calculated 30-Sep, paid 2-Oct</t>
  </si>
  <si>
    <t xml:space="preserve">Check: payroll system total agrees to Rec_Payroll source balance</t>
  </si>
  <si>
    <t xml:space="preserve">Check: unexplained difference across accounts</t>
  </si>
  <si>
    <t xml:space="preserve">6. Annual leave provision movement and on-cost review</t>
  </si>
  <si>
    <t xml:space="preserve">Value ($)</t>
  </si>
  <si>
    <t xml:space="preserve">Opening provision (2130, prior month TB)</t>
  </si>
  <si>
    <t xml:space="preserve">Add: leave accrued in month</t>
  </si>
  <si>
    <t xml:space="preserve">Payroll leave report (simulated)</t>
  </si>
  <si>
    <t xml:space="preserve">Less: leave taken and paid out</t>
  </si>
  <si>
    <t xml:space="preserve">Expected closing provision</t>
  </si>
  <si>
    <t xml:space="preserve">Closing provision per TB (2130)</t>
  </si>
  <si>
    <t xml:space="preserve">Super on-cost on leave accrued (accrual x SG rate)</t>
  </si>
  <si>
    <t xml:space="preserve">Confirm the accrual is on-cost loaded. Payroll tax and workers compensation loadings not modelled.</t>
  </si>
  <si>
    <t xml:space="preserve">Provision as days of gross payroll</t>
  </si>
  <si>
    <t xml:space="preserve">Provision as % of annualised gross wages</t>
  </si>
  <si>
    <t xml:space="preserve">Trend indicator: a rising ratio means leave is accruing faster than it is taken</t>
  </si>
  <si>
    <t xml:space="preserve">7. Payroll analytics</t>
  </si>
  <si>
    <t xml:space="preserve">Metric</t>
  </si>
  <si>
    <t xml:space="preserve">Stores</t>
  </si>
  <si>
    <t xml:space="preserve">Head office</t>
  </si>
  <si>
    <t xml:space="preserve">Gross wages per FTE per month ($)</t>
  </si>
  <si>
    <t xml:space="preserve">Share of gross wages</t>
  </si>
  <si>
    <t xml:space="preserve">Store wages as % of net sales</t>
  </si>
  <si>
    <t xml:space="preserve">Store wages: variance to budget ($, favourable / (unfavourable))</t>
  </si>
  <si>
    <t xml:space="preserve">Payroll check summary</t>
  </si>
  <si>
    <t xml:space="preserve">Register expense lines agree to GL</t>
  </si>
  <si>
    <t xml:space="preserve">Payroll journal balances</t>
  </si>
  <si>
    <t xml:space="preserve">W1 and W2 agree to BAS</t>
  </si>
  <si>
    <t xml:space="preserve">Effective PAYG rate within expected range</t>
  </si>
  <si>
    <t xml:space="preserve">Super guarantee calculation agrees to GL</t>
  </si>
  <si>
    <t xml:space="preserve">Super payable within Payday Super window</t>
  </si>
  <si>
    <t xml:space="preserve">Payroll liabilities: no unexplained differences</t>
  </si>
  <si>
    <t xml:space="preserve">Leave provision roll-forward agrees to GL</t>
  </si>
  <si>
    <t xml:space="preserve">Overall payroll status</t>
  </si>
  <si>
    <t xml:space="preserve">Journals pending from Rec_Payroll ($, GL adjustments to post)</t>
  </si>
  <si>
    <t xml:space="preserve">Rolling Forecast and Budget Model</t>
  </si>
  <si>
    <t xml:space="preserve">Status: built. 12-month rolling forecast from the Sep-26 close. Drivers, seasonality and scenario levers are simulated inputs (blue).</t>
  </si>
  <si>
    <t xml:space="preserve">Scenario selected</t>
  </si>
  <si>
    <t xml:space="preserve">Base</t>
  </si>
  <si>
    <t xml:space="preserve">&lt;- choose Base or Downside; the whole model recalculates</t>
  </si>
  <si>
    <t xml:space="preserve">A. Scenario levers</t>
  </si>
  <si>
    <t xml:space="preserve">Lever</t>
  </si>
  <si>
    <t xml:space="preserve">Downside</t>
  </si>
  <si>
    <t xml:space="preserve">Selected</t>
  </si>
  <si>
    <t xml:space="preserve">Traffic and online sessions vs seasonal baseline (% change)</t>
  </si>
  <si>
    <t xml:space="preserve">Simulated levers. Replace with management assumptions.</t>
  </si>
  <si>
    <t xml:space="preserve">Conversion rate (relative % change)</t>
  </si>
  <si>
    <t xml:space="preserve">Basket size / AOV (% change vs Sep-26)</t>
  </si>
  <si>
    <t xml:space="preserve">COGS % of net sales (change, percentage points)</t>
  </si>
  <si>
    <t xml:space="preserve">Shrinkage % of net sales (change, percentage points)</t>
  </si>
  <si>
    <t xml:space="preserve">Fixed cost inflation per month</t>
  </si>
  <si>
    <t xml:space="preserve">Underlying monthly traffic growth</t>
  </si>
  <si>
    <t xml:space="preserve">Depreciation growth per month (capex roll-in)</t>
  </si>
  <si>
    <t xml:space="preserve">B. Sep-26 calibration (drivers back-solved from closed actuals)</t>
  </si>
  <si>
    <t xml:space="preserve">Driver</t>
  </si>
  <si>
    <t xml:space="preserve">Online</t>
  </si>
  <si>
    <t xml:space="preserve">Traffic (store visits) / online sessions</t>
  </si>
  <si>
    <t xml:space="preserve">Simulated; replace with footfall counter / web analytics</t>
  </si>
  <si>
    <t xml:space="preserve">Conversion rate</t>
  </si>
  <si>
    <t xml:space="preserve">Transactions / orders</t>
  </si>
  <si>
    <t xml:space="preserve">Basket size / AOV ($, ex GST)</t>
  </si>
  <si>
    <t xml:space="preserve">Sales per Variance tab divided by transactions</t>
  </si>
  <si>
    <t xml:space="preserve">Returns and discounts % of gross sales</t>
  </si>
  <si>
    <t xml:space="preserve">COGS % of net sales</t>
  </si>
  <si>
    <t xml:space="preserve">Freight inwards % of net sales</t>
  </si>
  <si>
    <t xml:space="preserve">Shrinkage and provisions % of net sales</t>
  </si>
  <si>
    <t xml:space="preserve">Store wages % of net sales</t>
  </si>
  <si>
    <t xml:space="preserve">Marketing % of net sales</t>
  </si>
  <si>
    <t xml:space="preserve">Bank and merchant fees % of net sales</t>
  </si>
  <si>
    <t xml:space="preserve">Superannuation rate on wages (from Payroll tab)</t>
  </si>
  <si>
    <t xml:space="preserve">Variable share of operating expenses (budget proxy)</t>
  </si>
  <si>
    <t xml:space="preserve">Derived from Sep-26 budget: store wages (with super), marketing and merchant fees flex with sales</t>
  </si>
  <si>
    <t xml:space="preserve">C. Monthly forecast ($)</t>
  </si>
  <si>
    <t xml:space="preserve">Rolling forecast</t>
  </si>
  <si>
    <t xml:space="preserve">12 months</t>
  </si>
  <si>
    <t xml:space="preserve">Month index (0 = last closed month, actual)</t>
  </si>
  <si>
    <t xml:space="preserve">Seasonality index (Sep-26 = 1.00)</t>
  </si>
  <si>
    <t xml:space="preserve">Simulated seasonality: Black Friday / Christmas peak, EOFY sale in June. Replace with 3 years of actual monthly sales indices.</t>
  </si>
  <si>
    <t xml:space="preserve">Traffic (visits)</t>
  </si>
  <si>
    <t xml:space="preserve">Transactions</t>
  </si>
  <si>
    <t xml:space="preserve">Basket size ($)</t>
  </si>
  <si>
    <t xml:space="preserve">Sales: stores</t>
  </si>
  <si>
    <t xml:space="preserve">Sessions</t>
  </si>
  <si>
    <t xml:space="preserve">Orders</t>
  </si>
  <si>
    <t xml:space="preserve">AOV ($)</t>
  </si>
  <si>
    <t xml:space="preserve">Sales: online</t>
  </si>
  <si>
    <t xml:space="preserve">Income statement</t>
  </si>
  <si>
    <t xml:space="preserve">Wages and salaries: stores</t>
  </si>
  <si>
    <t xml:space="preserve">Wages and salaries: head office</t>
  </si>
  <si>
    <t xml:space="preserve">EBITDA margin %</t>
  </si>
  <si>
    <t xml:space="preserve">Budget proxy (the Sep-26 budget scaled by seasonality; replace with the approved FY27 monthly budget)</t>
  </si>
  <si>
    <t xml:space="preserve">Net sales: budget proxy</t>
  </si>
  <si>
    <t xml:space="preserve">Gross margin %: budget proxy</t>
  </si>
  <si>
    <t xml:space="preserve">Gross profit: budget proxy</t>
  </si>
  <si>
    <t xml:space="preserve">Operating expenses before depreciation: budget proxy</t>
  </si>
  <si>
    <t xml:space="preserve">EBITDA: budget proxy</t>
  </si>
  <si>
    <t xml:space="preserve">EBITDA: forecast</t>
  </si>
  <si>
    <t xml:space="preserve">Forecast EBITDA vs budget proxy: favourable / (unfavourable)</t>
  </si>
  <si>
    <t xml:space="preserve">D. EBITDA bridge: budget proxy to forecast (12 months)</t>
  </si>
  <si>
    <t xml:space="preserve">Step</t>
  </si>
  <si>
    <t xml:space="preserve">Budget proxy EBITDA</t>
  </si>
  <si>
    <t xml:space="preserve">Net sales volume and mix (at budget gross margin %)</t>
  </si>
  <si>
    <t xml:space="preserve">Gross margin rate (forecast vs budget %)</t>
  </si>
  <si>
    <t xml:space="preserve">Operating expenses (higher cost is unfavourable)</t>
  </si>
  <si>
    <t xml:space="preserve">Forecast EBITDA</t>
  </si>
  <si>
    <t xml:space="preserve">E. Model checks</t>
  </si>
  <si>
    <t xml:space="preserve">Sep-26 column agrees to Variance tab: net profit before tax</t>
  </si>
  <si>
    <t xml:space="preserve">Sep-26 column agrees to Variance tab: EBITDA</t>
  </si>
  <si>
    <t xml:space="preserve">EBITDA bridge agrees to forecast EBITDA</t>
  </si>
  <si>
    <t xml:space="preserve">12-month NPBT equals the sum of monthly NPBT</t>
  </si>
  <si>
    <t xml:space="preserve">Overall forecast status</t>
  </si>
  <si>
    <t xml:space="preserve">Notes and assumptions</t>
  </si>
  <si>
    <t xml:space="preserve">1. The Sep-26 column links to the closed actuals on the Variance tab. Forecast months run Oct-26 to Sep-27 and roll forward each close.</t>
  </si>
  <si>
    <t xml:space="preserve">2. Sales = traffic x conversion x basket (stores) and sessions x conversion x AOV (online). Calibration drivers are simulated; replace with footfall and web analytics.</t>
  </si>
  <si>
    <t xml:space="preserve">3. Variable costs (COGS, freight, shrinkage, store wages, marketing, merchant fees) follow net sales at Sep-26 ratios; fixed costs inflate monthly; interest is held flat.</t>
  </si>
  <si>
    <t xml:space="preserve">4. Forecast is pre-journal: the Sep-26 base excludes the GL adjustments pending on Rec_Summary (net effect on NPBT shown on the Variance tab commentary).</t>
  </si>
  <si>
    <t xml:space="preserve">5. The budget proxy is not an approved budget. Swap row 81, 82 and 84 for the FY27 monthly budget, then the bridge reads as forecast vs budget.</t>
  </si>
  <si>
    <t xml:space="preserve">6. No tax, working capital, capex programme, new store openings or promotional calendar are modelled. Depreciation grows at the rate in section A.</t>
  </si>
  <si>
    <t xml:space="preserve">Process Automation Log</t>
  </si>
  <si>
    <t xml:space="preserve">Status: built (automation 1 complete; backlog identified). Results below are from running bank_rec_automation.py on the Sep-26 sample files.</t>
  </si>
  <si>
    <t xml:space="preserve">1. Automation: bank reconciliation matching and exception report</t>
  </si>
  <si>
    <t xml:space="preserve">Detail</t>
  </si>
  <si>
    <t xml:space="preserve">Script</t>
  </si>
  <si>
    <t xml:space="preserve">bank_rec_automation.py (Python 3, standard library only). Sample inputs: sample_bank_statement.csv, sample_gl_cash_book.csv.</t>
  </si>
  <si>
    <t xml:space="preserve">Run</t>
  </si>
  <si>
    <t xml:space="preserve">python bank_rec_automation.py sample_bank_statement.csv sample_gl_cash_book.csv --bank-balance 6638170 --gl-balance 7190000 --period-end 2026-09-30</t>
  </si>
  <si>
    <t xml:space="preserve">Rule 1</t>
  </si>
  <si>
    <t xml:space="preserve">Match bank to GL lines one-to-one on exact amount (to the cent) and dates within +/- 3 days (adjustable).</t>
  </si>
  <si>
    <t xml:space="preserve">Rule 2</t>
  </si>
  <si>
    <t xml:space="preserve">Where several candidates qualify, the closest date wins; ties go to the earliest line.</t>
  </si>
  <si>
    <t xml:space="preserve">Rule 3</t>
  </si>
  <si>
    <t xml:space="preserve">Unmatched bank line = GL adjustment (journal required). Unmatched GL line = timing item, flagged AGED beyond the Inputs ageing threshold.</t>
  </si>
  <si>
    <t xml:space="preserve">Proof</t>
  </si>
  <si>
    <t xml:space="preserve">Adjusted GL = GL + unmatched bank lines. Adjusted bank = bank + unmatched GL lines. The script exits non-zero unless they agree.</t>
  </si>
  <si>
    <t xml:space="preserve">Output</t>
  </si>
  <si>
    <t xml:space="preserve">exceptions_report.csv with source, ref, date, amount, classification, days open, aged flag and suggested action.</t>
  </si>
  <si>
    <t xml:space="preserve">2. Script run vs Rec_Bank tab</t>
  </si>
  <si>
    <t xml:space="preserve">Per script run</t>
  </si>
  <si>
    <t xml:space="preserve">Per Rec_Bank ($)</t>
  </si>
  <si>
    <t xml:space="preserve">Bank statement lines processed</t>
  </si>
  <si>
    <t xml:space="preserve">GL cash book lines processed</t>
  </si>
  <si>
    <t xml:space="preserve">Matched pairs</t>
  </si>
  <si>
    <t xml:space="preserve">R4</t>
  </si>
  <si>
    <t xml:space="preserve">GL adjustments (unmatched bank lines) ($)</t>
  </si>
  <si>
    <t xml:space="preserve">R5</t>
  </si>
  <si>
    <t xml:space="preserve">Timing items (unmatched GL lines) ($)</t>
  </si>
  <si>
    <t xml:space="preserve">R6</t>
  </si>
  <si>
    <t xml:space="preserve">Adjusted GL balance ($)</t>
  </si>
  <si>
    <t xml:space="preserve">R7</t>
  </si>
  <si>
    <t xml:space="preserve">Adjusted bank balance ($)</t>
  </si>
  <si>
    <t xml:space="preserve">R8</t>
  </si>
  <si>
    <t xml:space="preserve">Unreconciled difference ($)</t>
  </si>
  <si>
    <t xml:space="preserve">R9</t>
  </si>
  <si>
    <t xml:space="preserve">Aged timing items (count)</t>
  </si>
  <si>
    <t xml:space="preserve">Script figures are hardcoded from the run on 9-Oct-2026 (blue). Re-run the script and update column C each close.</t>
  </si>
  <si>
    <t xml:space="preserve">3. Exception report tie-out to Rec_Bank reconciling items</t>
  </si>
  <si>
    <t xml:space="preserve">Script ref</t>
  </si>
  <si>
    <t xml:space="preserve">Description (per exception report)</t>
  </si>
  <si>
    <t xml:space="preserve">Classification</t>
  </si>
  <si>
    <t xml:space="preserve">Script amount ($)</t>
  </si>
  <si>
    <t xml:space="preserve">Rec_Bank ref</t>
  </si>
  <si>
    <t xml:space="preserve">Rec_Bank amount ($)</t>
  </si>
  <si>
    <t xml:space="preserve">BS-026</t>
  </si>
  <si>
    <t xml:space="preserve">Merchant fees - September (bank debit)</t>
  </si>
  <si>
    <t xml:space="preserve">CB-029</t>
  </si>
  <si>
    <t xml:space="preserve">Card settlement trading 30 Sep (banks 1 Oct)</t>
  </si>
  <si>
    <t xml:space="preserve">CB-026</t>
  </si>
  <si>
    <t xml:space="preserve">Supplier EFT batch released 29 Sep (clears 1 Oct)</t>
  </si>
  <si>
    <t xml:space="preserve">CB-001</t>
  </si>
  <si>
    <t xml:space="preserve">Unpresented refund payments (brought forward), 34 days</t>
  </si>
  <si>
    <t xml:space="preserve">Timing - AGED</t>
  </si>
  <si>
    <t xml:space="preserve">4. Time saved (before / after)</t>
  </si>
  <si>
    <t xml:space="preserve">T1</t>
  </si>
  <si>
    <t xml:space="preserve">Lines to review (bank + GL)</t>
  </si>
  <si>
    <t xml:space="preserve">From section 2</t>
  </si>
  <si>
    <t xml:space="preserve">T2</t>
  </si>
  <si>
    <t xml:space="preserve">Manual: seconds per line to tick and match</t>
  </si>
  <si>
    <t xml:space="preserve">ESTIMATE. Replace with your own stopwatch timing.</t>
  </si>
  <si>
    <t xml:space="preserve">T3</t>
  </si>
  <si>
    <t xml:space="preserve">Manual: minutes to prepare schedule and investigate items</t>
  </si>
  <si>
    <t xml:space="preserve">ESTIMATE</t>
  </si>
  <si>
    <t xml:space="preserve">T4</t>
  </si>
  <si>
    <t xml:space="preserve">Manual: total minutes</t>
  </si>
  <si>
    <t xml:space="preserve">T1 x T2 / 60 + T3</t>
  </si>
  <si>
    <t xml:space="preserve">T5</t>
  </si>
  <si>
    <t xml:space="preserve">Automated: script runtime (seconds)</t>
  </si>
  <si>
    <t xml:space="preserve">MEASURED on the sample run (reported by the script)</t>
  </si>
  <si>
    <t xml:space="preserve">T6</t>
  </si>
  <si>
    <t xml:space="preserve">Automated: minutes to load files and review exceptions</t>
  </si>
  <si>
    <t xml:space="preserve">ESTIMATE: 2 min to load + about 3 min per exception</t>
  </si>
  <si>
    <t xml:space="preserve">T7</t>
  </si>
  <si>
    <t xml:space="preserve">Automated: total minutes</t>
  </si>
  <si>
    <t xml:space="preserve">T5 / 60 + T6</t>
  </si>
  <si>
    <t xml:space="preserve">T8</t>
  </si>
  <si>
    <t xml:space="preserve">Minutes saved per close</t>
  </si>
  <si>
    <t xml:space="preserve">T4 less T7</t>
  </si>
  <si>
    <t xml:space="preserve">T9</t>
  </si>
  <si>
    <t xml:space="preserve">Time saved (%)</t>
  </si>
  <si>
    <t xml:space="preserve">T10</t>
  </si>
  <si>
    <t xml:space="preserve">Hours saved per year (12 closes)</t>
  </si>
  <si>
    <t xml:space="preserve">Single bank account only; scales with accounts and line volume</t>
  </si>
  <si>
    <t xml:space="preserve">Matching effort is the part that scales: manual time grows with line count while review time grows only with exceptions.</t>
  </si>
  <si>
    <t xml:space="preserve">5. Automation backlog identified during the Sep-26 close</t>
  </si>
  <si>
    <t xml:space="preserve">Opportunity</t>
  </si>
  <si>
    <t xml:space="preserve">Close calendar task</t>
  </si>
  <si>
    <t xml:space="preserve">Approach</t>
  </si>
  <si>
    <t xml:space="preserve">Effort</t>
  </si>
  <si>
    <t xml:space="preserve">Priority</t>
  </si>
  <si>
    <t xml:space="preserve">Expected benefit</t>
  </si>
  <si>
    <t xml:space="preserve">Bank reconciliation matching and exception report</t>
  </si>
  <si>
    <t xml:space="preserve">7. Bank reconciliation prepared</t>
  </si>
  <si>
    <t xml:space="preserve">Python matcher (built)</t>
  </si>
  <si>
    <t xml:space="preserve">Low</t>
  </si>
  <si>
    <t xml:space="preserve">Done</t>
  </si>
  <si>
    <t xml:space="preserve">High</t>
  </si>
  <si>
    <t xml:space="preserve">Removes line-by-line ticking; exceptions feed Rec_Bank directly</t>
  </si>
  <si>
    <t xml:space="preserve">Journal upload file from reconciliation GL adjustments</t>
  </si>
  <si>
    <t xml:space="preserve">15. Post journals identified in reconciliations</t>
  </si>
  <si>
    <t xml:space="preserve">Generate balanced ERP journal CSV from "GL adjustment" lines</t>
  </si>
  <si>
    <t xml:space="preserve">Planned</t>
  </si>
  <si>
    <t xml:space="preserve">Cuts rekeying errors; balance check before upload</t>
  </si>
  <si>
    <t xml:space="preserve">Flux report with threshold flags and commentary prompts</t>
  </si>
  <si>
    <t xml:space="preserve">17. P&amp;L flux analysis</t>
  </si>
  <si>
    <t xml:space="preserve">Python or Power Query on TB export using Inputs thresholds</t>
  </si>
  <si>
    <t xml:space="preserve">Medium</t>
  </si>
  <si>
    <t xml:space="preserve">Same-day flux pack; commentary drafted against drivers</t>
  </si>
  <si>
    <t xml:space="preserve">AP and AR subledger to GL matching</t>
  </si>
  <si>
    <t xml:space="preserve">8-9. AP and AR reconciliations</t>
  </si>
  <si>
    <t xml:space="preserve">Extend matcher to invoice reference keys</t>
  </si>
  <si>
    <t xml:space="preserve">Surfaces interface failures such as AP-01 and AR-01</t>
  </si>
  <si>
    <t xml:space="preserve">BAS data extract and GST coding exceptions</t>
  </si>
  <si>
    <t xml:space="preserve">12. GST clearing; 22. BAS / IAS</t>
  </si>
  <si>
    <t xml:space="preserve">Power Query on GL by tax code, flag uncoded GST</t>
  </si>
  <si>
    <t xml:space="preserve">Earlier detection of items like GST-01</t>
  </si>
  <si>
    <t xml:space="preserve">Close calendar status reminders</t>
  </si>
  <si>
    <t xml:space="preserve">All tasks</t>
  </si>
  <si>
    <t xml:space="preserve">Power Automate from status column</t>
  </si>
  <si>
    <t xml:space="preserve">Fewer follow-ups on overdue tasks</t>
  </si>
  <si>
    <t xml:space="preserve">Backlog items completed</t>
  </si>
  <si>
    <t xml:space="preserve">6. Controls and limitations</t>
  </si>
  <si>
    <t xml:space="preserve">1.</t>
  </si>
  <si>
    <t xml:space="preserve">Deterministic: the same inputs always give the same output, so the exception report is reproducible for audit.</t>
  </si>
  <si>
    <t xml:space="preserve">2.</t>
  </si>
  <si>
    <t xml:space="preserve">Exact-amount matching only. Many-to-one items (for example one bank deposit covering several GL receipts) fall into exceptions and need manual review.</t>
  </si>
  <si>
    <t xml:space="preserve">3.</t>
  </si>
  <si>
    <t xml:space="preserve">Matching is greedy by GL date order. If two same-amount lines compete, the closest date wins; review ties in the report.</t>
  </si>
  <si>
    <t xml:space="preserve">4.</t>
  </si>
  <si>
    <t xml:space="preserve">The proof (adjusted GL = adjusted bank) guards against missed or duplicated lines. A non-zero difference stops the run with a non-zero exit code.</t>
  </si>
  <si>
    <t xml:space="preserve">5.</t>
  </si>
  <si>
    <t xml:space="preserve">Sample data is simulated. With real bank files, keep extracts in a controlled folder and do not commit them to a public repository.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</si>
</sst>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dd\-mmm\-yyyy"/>
    <numFmt numFmtId="166" formatCode="#,##0;\(#,##0\);\-"/>
    <numFmt numFmtId="167" formatCode="0%"/>
    <numFmt numFmtId="168" formatCode="0.0%"/>
    <numFmt numFmtId="169" formatCode="0"/>
    <numFmt numFmtId="170" formatCode="0.0%;\(0.0%\);\-"/>
    <numFmt numFmtId="171" formatCode="0.00%"/>
    <numFmt numFmtId="172" formatCode="0.0000"/>
    <numFmt numFmtId="173" formatCode="0.0"/>
    <numFmt numFmtId="174" formatCode="0.00%;\(0.00%\);\-"/>
    <numFmt numFmtId="175" formatCode="#,##0.00;\(#,##0.00\);\-"/>
    <numFmt numFmtId="176" formatCode="mmm\-yy"/>
    <numFmt numFmtId="177" formatCode="0.00"/>
    <numFmt numFmtId="178" formatCode="0.000"/>
    <numFmt numFmtId="179" formatCode="&quot;of &quot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1"/>
      <color theme="1"/>
      <name val="Calibri"/>
      <family val="2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9C5700"/>
      </font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6A6A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51.75" hidden="false" customHeight="true" outlineLevel="0" collapsed="false">
      <c r="A4" s="4" t="s">
        <v>2</v>
      </c>
      <c r="B4" s="5" t="s">
        <v>3</v>
      </c>
    </row>
    <row r="6" customFormat="false" ht="51.75" hidden="false" customHeight="true" outlineLevel="0" collapsed="false">
      <c r="A6" s="4" t="s">
        <v>4</v>
      </c>
      <c r="B6" s="5" t="s">
        <v>5</v>
      </c>
    </row>
    <row r="8" customFormat="false" ht="15" hidden="false" customHeight="true" outlineLevel="0" collapsed="false">
      <c r="A8" s="6" t="s">
        <v>6</v>
      </c>
      <c r="B8" s="6" t="s">
        <v>7</v>
      </c>
    </row>
    <row r="9" customFormat="false" ht="30" hidden="false" customHeight="true" outlineLevel="0" collapsed="false">
      <c r="A9" s="4" t="s">
        <v>8</v>
      </c>
      <c r="B9" s="5" t="s">
        <v>9</v>
      </c>
    </row>
    <row r="10" customFormat="false" ht="30" hidden="false" customHeight="true" outlineLevel="0" collapsed="false">
      <c r="A10" s="4" t="s">
        <v>10</v>
      </c>
      <c r="B10" s="5" t="s">
        <v>11</v>
      </c>
    </row>
    <row r="11" customFormat="false" ht="30" hidden="false" customHeight="true" outlineLevel="0" collapsed="false">
      <c r="A11" s="4" t="s">
        <v>12</v>
      </c>
      <c r="B11" s="5" t="s">
        <v>13</v>
      </c>
    </row>
    <row r="12" customFormat="false" ht="30" hidden="false" customHeight="true" outlineLevel="0" collapsed="false">
      <c r="A12" s="4" t="s">
        <v>14</v>
      </c>
      <c r="B12" s="5" t="s">
        <v>15</v>
      </c>
    </row>
    <row r="13" customFormat="false" ht="30" hidden="false" customHeight="true" outlineLevel="0" collapsed="false">
      <c r="A13" s="4" t="s">
        <v>16</v>
      </c>
      <c r="B13" s="5" t="s">
        <v>17</v>
      </c>
    </row>
    <row r="14" customFormat="false" ht="30" hidden="false" customHeight="true" outlineLevel="0" collapsed="false">
      <c r="A14" s="4" t="s">
        <v>18</v>
      </c>
      <c r="B14" s="5" t="s">
        <v>19</v>
      </c>
    </row>
    <row r="15" customFormat="false" ht="30" hidden="false" customHeight="true" outlineLevel="0" collapsed="false">
      <c r="A15" s="4" t="s">
        <v>20</v>
      </c>
      <c r="B15" s="5" t="s">
        <v>21</v>
      </c>
    </row>
    <row r="16" customFormat="false" ht="30" hidden="false" customHeight="true" outlineLevel="0" collapsed="false">
      <c r="A16" s="4" t="s">
        <v>22</v>
      </c>
      <c r="B16" s="5" t="s">
        <v>23</v>
      </c>
    </row>
    <row r="17" customFormat="false" ht="30" hidden="false" customHeight="true" outlineLevel="0" collapsed="false">
      <c r="A17" s="4" t="s">
        <v>24</v>
      </c>
      <c r="B17" s="5" t="s">
        <v>25</v>
      </c>
    </row>
    <row r="18" customFormat="false" ht="30" hidden="false" customHeight="true" outlineLevel="0" collapsed="false">
      <c r="A18" s="4" t="s">
        <v>26</v>
      </c>
      <c r="B18" s="5" t="s">
        <v>27</v>
      </c>
    </row>
    <row r="19" customFormat="false" ht="30" hidden="false" customHeight="true" outlineLevel="0" collapsed="false">
      <c r="A19" s="4" t="s">
        <v>28</v>
      </c>
      <c r="B19" s="5" t="s">
        <v>29</v>
      </c>
    </row>
    <row r="20" customFormat="false" ht="30" hidden="false" customHeight="true" outlineLevel="0" collapsed="false">
      <c r="A20" s="4" t="s">
        <v>30</v>
      </c>
      <c r="B20" s="5" t="s">
        <v>31</v>
      </c>
    </row>
    <row r="22" customFormat="false" ht="15" hidden="false" customHeight="true" outlineLevel="0" collapsed="false">
      <c r="A22" s="4" t="s">
        <v>32</v>
      </c>
      <c r="B22" s="7" t="s">
        <v>33</v>
      </c>
    </row>
    <row r="23" customFormat="false" ht="15" hidden="false" customHeight="true" outlineLevel="0" collapsed="false">
      <c r="B23" s="8" t="s">
        <v>34</v>
      </c>
    </row>
    <row r="24" customFormat="false" ht="15" hidden="false" customHeight="true" outlineLevel="0" collapsed="false">
      <c r="B24" s="9" t="s">
        <v>35</v>
      </c>
    </row>
    <row r="25" customFormat="false" ht="15" hidden="false" customHeight="true" outlineLevel="0" collapsed="false">
      <c r="B25" s="10" t="s">
        <v>36</v>
      </c>
    </row>
    <row r="27" customFormat="false" ht="15" hidden="false" customHeight="true" outlineLevel="0" collapsed="false">
      <c r="A27" s="4" t="s">
        <v>37</v>
      </c>
      <c r="B27" s="5" t="s">
        <v>38</v>
      </c>
    </row>
    <row r="28" customFormat="false" ht="42" hidden="false" customHeight="true" outlineLevel="0" collapsed="false">
      <c r="A28" s="4" t="s">
        <v>39</v>
      </c>
      <c r="B28" s="5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0"/>
    <col collapsed="false" customWidth="true" hidden="false" outlineLevel="0" max="3" min="3" style="1" width="20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41</v>
      </c>
    </row>
    <row r="2" customFormat="false" ht="15" hidden="false" customHeight="true" outlineLevel="0" collapsed="false">
      <c r="A2" s="3" t="s">
        <v>42</v>
      </c>
    </row>
    <row r="3" customFormat="false" ht="15" hidden="false" customHeight="true" outlineLevel="0" collapsed="false">
      <c r="A3" s="4" t="s">
        <v>43</v>
      </c>
      <c r="C3" s="11" t="n">
        <f aca="false">Inputs!$C$5</f>
        <v>46295</v>
      </c>
    </row>
    <row r="5" customFormat="false" ht="15" hidden="false" customHeight="true" outlineLevel="0" collapsed="false">
      <c r="A5" s="6" t="s">
        <v>44</v>
      </c>
      <c r="B5" s="6" t="s">
        <v>45</v>
      </c>
      <c r="C5" s="6" t="s">
        <v>46</v>
      </c>
      <c r="D5" s="6" t="s">
        <v>47</v>
      </c>
    </row>
    <row r="6" customFormat="false" ht="15" hidden="false" customHeight="true" outlineLevel="0" collapsed="false">
      <c r="A6" s="7" t="n">
        <v>1</v>
      </c>
      <c r="B6" s="8" t="s">
        <v>48</v>
      </c>
      <c r="C6" s="12" t="n">
        <f aca="false">ROUND(TB!F47,0)</f>
        <v>0</v>
      </c>
      <c r="D6" s="4" t="str">
        <f aca="false">IF(C6=0,"PASS","FAIL")</f>
        <v>PASS</v>
      </c>
    </row>
    <row r="7" customFormat="false" ht="15" hidden="false" customHeight="true" outlineLevel="0" collapsed="false">
      <c r="A7" s="7" t="n">
        <v>2</v>
      </c>
      <c r="B7" s="8" t="s">
        <v>49</v>
      </c>
      <c r="C7" s="12" t="n">
        <f aca="false">ROUND(TB!E47,0)</f>
        <v>0</v>
      </c>
      <c r="D7" s="4" t="str">
        <f aca="false">IF(C7=0,"PASS","FAIL")</f>
        <v>PASS</v>
      </c>
    </row>
    <row r="8" customFormat="false" ht="15" hidden="false" customHeight="true" outlineLevel="0" collapsed="false">
      <c r="A8" s="7" t="n">
        <v>3</v>
      </c>
      <c r="B8" s="8" t="s">
        <v>50</v>
      </c>
      <c r="C8" s="12" t="n">
        <f aca="false">ROUND(TB!G47,0)</f>
        <v>0</v>
      </c>
      <c r="D8" s="4" t="str">
        <f aca="false">IF(C8=0,"PASS","FAIL")</f>
        <v>PASS</v>
      </c>
    </row>
    <row r="9" customFormat="false" ht="15" hidden="false" customHeight="true" outlineLevel="0" collapsed="false">
      <c r="A9" s="7" t="n">
        <v>4</v>
      </c>
      <c r="B9" s="8" t="s">
        <v>51</v>
      </c>
      <c r="C9" s="12" t="n">
        <f aca="false">ROUND(Variance!C30+SUMIF(TB!$D$6:$D$46,"PL",TB!$G$6:$G$46),0)</f>
        <v>0</v>
      </c>
      <c r="D9" s="4" t="str">
        <f aca="false">IF(C9=0,"PASS","FAIL")</f>
        <v>PASS</v>
      </c>
    </row>
    <row r="10" customFormat="false" ht="15" hidden="false" customHeight="true" outlineLevel="0" collapsed="false">
      <c r="A10" s="7" t="n">
        <v>5</v>
      </c>
      <c r="B10" s="8" t="s">
        <v>52</v>
      </c>
      <c r="C10" s="12" t="n">
        <f aca="false">COUNTIF(Rec_Summary!G6:G13,"&lt;&gt;RECONCILED")</f>
        <v>0</v>
      </c>
      <c r="D10" s="4" t="str">
        <f aca="false">IF(C10=0,"PASS","FAIL")</f>
        <v>PASS</v>
      </c>
    </row>
    <row r="11" customFormat="false" ht="15" hidden="false" customHeight="true" outlineLevel="0" collapsed="false">
      <c r="A11" s="7" t="n">
        <v>6</v>
      </c>
      <c r="B11" s="8" t="s">
        <v>53</v>
      </c>
      <c r="C11" s="12" t="n">
        <f aca="false">Rec_Summary!F14</f>
        <v>0</v>
      </c>
      <c r="D11" s="4" t="str">
        <f aca="false">IF(ABS(C11)&lt;=Inputs!$C$12,"PASS","FAIL")</f>
        <v>PASS</v>
      </c>
    </row>
    <row r="12" customFormat="false" ht="15" hidden="false" customHeight="true" outlineLevel="0" collapsed="false">
      <c r="A12" s="7" t="n">
        <v>7</v>
      </c>
      <c r="B12" s="8" t="s">
        <v>54</v>
      </c>
      <c r="C12" s="12" t="n">
        <f aca="false">ROUND(BAS_IAS!H33,0)</f>
        <v>0</v>
      </c>
      <c r="D12" s="4" t="str">
        <f aca="false">IF(C12=0,"PASS","FAIL")</f>
        <v>PASS</v>
      </c>
    </row>
    <row r="13" customFormat="false" ht="15" hidden="false" customHeight="true" outlineLevel="0" collapsed="false">
      <c r="A13" s="7" t="n">
        <v>8</v>
      </c>
      <c r="B13" s="8" t="s">
        <v>55</v>
      </c>
      <c r="C13" s="12" t="n">
        <f aca="false">ROUND(FBT!E38,0)</f>
        <v>0</v>
      </c>
      <c r="D13" s="4" t="str">
        <f aca="false">IF(C13=0,"PASS","FAIL")</f>
        <v>PASS</v>
      </c>
    </row>
    <row r="14" customFormat="false" ht="15" hidden="false" customHeight="true" outlineLevel="0" collapsed="false">
      <c r="A14" s="7" t="n">
        <v>9</v>
      </c>
      <c r="B14" s="8" t="s">
        <v>56</v>
      </c>
      <c r="C14" s="12" t="n">
        <f aca="false">ROUND(FA_Register!F31,0)</f>
        <v>0</v>
      </c>
      <c r="D14" s="4" t="str">
        <f aca="false">IF(C14=0,"PASS","FAIL")</f>
        <v>PASS</v>
      </c>
    </row>
    <row r="15" customFormat="false" ht="15" hidden="false" customHeight="true" outlineLevel="0" collapsed="false">
      <c r="A15" s="7" t="n">
        <v>10</v>
      </c>
      <c r="B15" s="8" t="s">
        <v>57</v>
      </c>
      <c r="C15" s="12" t="n">
        <f aca="false">Rec_Summary!I14</f>
        <v>1</v>
      </c>
      <c r="D15" s="4" t="str">
        <f aca="false">IF(C15=0,"PASS","REVIEW")</f>
        <v>REVIEW</v>
      </c>
    </row>
    <row r="16" customFormat="false" ht="15" hidden="false" customHeight="true" outlineLevel="0" collapsed="false">
      <c r="A16" s="7" t="n">
        <v>11</v>
      </c>
      <c r="B16" s="8" t="s">
        <v>58</v>
      </c>
      <c r="C16" s="13" t="n">
        <f aca="false">Close_Calendar!B3</f>
        <v>0.375</v>
      </c>
      <c r="D16" s="4" t="str">
        <f aca="false">IF(C16=1,"PASS","IN PROGRESS")</f>
        <v>IN PROGRESS</v>
      </c>
    </row>
    <row r="18" customFormat="false" ht="15" hidden="false" customHeight="true" outlineLevel="0" collapsed="false">
      <c r="B18" s="4" t="s">
        <v>59</v>
      </c>
      <c r="D18" s="4" t="str">
        <f aca="false">IF(AND(D6="PASS",D7="PASS",D8="PASS",D9="PASS",D10="PASS",D11="PASS",D12="PASS",D13="PASS",D14="PASS"),"ALL PASS","REVIEW")</f>
        <v>ALL PASS</v>
      </c>
    </row>
    <row r="19" customFormat="false" ht="15" hidden="false" customHeight="true" outlineLevel="0" collapsed="false">
      <c r="B19" s="3" t="s">
        <v>60</v>
      </c>
    </row>
  </sheetData>
  <conditionalFormatting sqref="D6:D16">
    <cfRule type="expression" priority="2" aboveAverage="0" equalAverage="0" bottom="0" percent="0" rank="0" text="" dxfId="0">
      <formula>OR(D6="PASS",D6="ALL PASS")</formula>
    </cfRule>
    <cfRule type="expression" priority="3" aboveAverage="0" equalAverage="0" bottom="0" percent="0" rank="0" text="" dxfId="1">
      <formula>OR(D6="FAIL",D6="REVIEW")</formula>
    </cfRule>
    <cfRule type="expression" priority="4" aboveAverage="0" equalAverage="0" bottom="0" percent="0" rank="0" text="" dxfId="2">
      <formula>D6="IN PROGRESS"</formula>
    </cfRule>
  </conditionalFormatting>
  <conditionalFormatting sqref="D18">
    <cfRule type="expression" priority="5" aboveAverage="0" equalAverage="0" bottom="0" percent="0" rank="0" text="" dxfId="0">
      <formula>OR(D18="PASS",D18="ALL PASS")</formula>
    </cfRule>
    <cfRule type="expression" priority="6" aboveAverage="0" equalAverage="0" bottom="0" percent="0" rank="0" text="" dxfId="1">
      <formula>OR(D18="FAIL",D18="REVIEW")</formula>
    </cfRule>
    <cfRule type="expression" priority="7" aboveAverage="0" equalAverage="0" bottom="0" percent="0" rank="0" text="" dxfId="2">
      <formula>D18="IN PROGRESS"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40"/>
    <col collapsed="false" customWidth="true" hidden="false" outlineLevel="0" max="4" min="4" style="1" width="70"/>
  </cols>
  <sheetData>
    <row r="1" customFormat="false" ht="17.25" hidden="false" customHeight="true" outlineLevel="0" collapsed="false">
      <c r="A1" s="2" t="s">
        <v>61</v>
      </c>
    </row>
    <row r="2" customFormat="false" ht="15" hidden="false" customHeight="true" outlineLevel="0" collapsed="false">
      <c r="A2" s="3" t="s">
        <v>62</v>
      </c>
    </row>
    <row r="3" customFormat="false" ht="15" hidden="false" customHeight="true" outlineLevel="0" collapsed="false">
      <c r="B3" s="4" t="s">
        <v>63</v>
      </c>
      <c r="C3" s="14" t="s">
        <v>64</v>
      </c>
      <c r="D3" s="3" t="s">
        <v>65</v>
      </c>
    </row>
    <row r="4" customFormat="false" ht="15" hidden="false" customHeight="true" outlineLevel="0" collapsed="false">
      <c r="B4" s="4" t="s">
        <v>66</v>
      </c>
      <c r="C4" s="14" t="s">
        <v>67</v>
      </c>
      <c r="D4" s="3" t="s">
        <v>68</v>
      </c>
    </row>
    <row r="5" customFormat="false" ht="15" hidden="false" customHeight="true" outlineLevel="0" collapsed="false">
      <c r="B5" s="4" t="s">
        <v>69</v>
      </c>
      <c r="C5" s="15" t="n">
        <v>46295</v>
      </c>
      <c r="D5" s="3" t="s">
        <v>70</v>
      </c>
    </row>
    <row r="6" customFormat="false" ht="15" hidden="false" customHeight="true" outlineLevel="0" collapsed="false">
      <c r="B6" s="4" t="s">
        <v>71</v>
      </c>
      <c r="C6" s="14" t="s">
        <v>72</v>
      </c>
      <c r="D6" s="3" t="s">
        <v>73</v>
      </c>
    </row>
    <row r="7" customFormat="false" ht="15" hidden="false" customHeight="true" outlineLevel="0" collapsed="false">
      <c r="B7" s="4" t="s">
        <v>74</v>
      </c>
      <c r="C7" s="14" t="s">
        <v>75</v>
      </c>
      <c r="D7" s="3" t="s">
        <v>76</v>
      </c>
    </row>
    <row r="8" customFormat="false" ht="15" hidden="false" customHeight="true" outlineLevel="0" collapsed="false">
      <c r="B8" s="4" t="s">
        <v>77</v>
      </c>
      <c r="C8" s="16" t="n">
        <v>0.1</v>
      </c>
      <c r="D8" s="3" t="s">
        <v>78</v>
      </c>
    </row>
    <row r="9" customFormat="false" ht="15" hidden="false" customHeight="true" outlineLevel="0" collapsed="false">
      <c r="B9" s="4" t="s">
        <v>79</v>
      </c>
      <c r="C9" s="17" t="n">
        <v>30</v>
      </c>
      <c r="D9" s="3" t="s">
        <v>80</v>
      </c>
    </row>
    <row r="10" customFormat="false" ht="15" hidden="false" customHeight="true" outlineLevel="0" collapsed="false">
      <c r="B10" s="4" t="s">
        <v>81</v>
      </c>
      <c r="C10" s="18" t="n">
        <v>100000</v>
      </c>
      <c r="D10" s="3" t="s">
        <v>82</v>
      </c>
    </row>
    <row r="11" customFormat="false" ht="15" hidden="false" customHeight="true" outlineLevel="0" collapsed="false">
      <c r="B11" s="4" t="s">
        <v>83</v>
      </c>
      <c r="C11" s="16" t="n">
        <v>0.05</v>
      </c>
      <c r="D11" s="3" t="s">
        <v>84</v>
      </c>
    </row>
    <row r="12" customFormat="false" ht="15" hidden="false" customHeight="true" outlineLevel="0" collapsed="false">
      <c r="B12" s="4" t="s">
        <v>85</v>
      </c>
      <c r="C12" s="18" t="n">
        <v>1</v>
      </c>
      <c r="D12" s="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4"/>
    <col collapsed="false" customWidth="true" hidden="false" outlineLevel="0" max="3" min="3" style="1" width="12"/>
    <col collapsed="false" customWidth="true" hidden="false" outlineLevel="0" max="4" min="4" style="1" width="11"/>
    <col collapsed="false" customWidth="true" hidden="false" outlineLevel="0" max="5" min="5" style="1" width="12"/>
    <col collapsed="false" customWidth="true" hidden="false" outlineLevel="0" max="6" min="6" style="1" width="18"/>
    <col collapsed="false" customWidth="true" hidden="false" outlineLevel="0" max="7" min="7" style="1" width="24"/>
  </cols>
  <sheetData>
    <row r="1" customFormat="false" ht="17.25" hidden="false" customHeight="true" outlineLevel="0" collapsed="false">
      <c r="A1" s="2" t="s">
        <v>87</v>
      </c>
    </row>
    <row r="2" customFormat="false" ht="15" hidden="false" customHeight="true" outlineLevel="0" collapsed="false">
      <c r="A2" s="3" t="s">
        <v>88</v>
      </c>
    </row>
    <row r="5" customFormat="false" ht="15" hidden="false" customHeight="true" outlineLevel="0" collapsed="false">
      <c r="A5" s="6" t="s">
        <v>89</v>
      </c>
      <c r="B5" s="6" t="s">
        <v>90</v>
      </c>
      <c r="C5" s="6" t="s">
        <v>91</v>
      </c>
      <c r="D5" s="6" t="s">
        <v>92</v>
      </c>
      <c r="E5" s="6" t="s">
        <v>93</v>
      </c>
      <c r="F5" s="6" t="s">
        <v>94</v>
      </c>
      <c r="G5" s="6" t="s">
        <v>95</v>
      </c>
    </row>
    <row r="6" customFormat="false" ht="15" hidden="false" customHeight="true" outlineLevel="0" collapsed="false">
      <c r="A6" s="7" t="n">
        <v>1000</v>
      </c>
      <c r="B6" s="7" t="s">
        <v>96</v>
      </c>
      <c r="C6" s="7" t="s">
        <v>97</v>
      </c>
      <c r="D6" s="7" t="s">
        <v>98</v>
      </c>
      <c r="E6" s="7" t="s">
        <v>99</v>
      </c>
      <c r="F6" s="7" t="s">
        <v>100</v>
      </c>
      <c r="G6" s="7" t="s">
        <v>101</v>
      </c>
    </row>
    <row r="7" customFormat="false" ht="15" hidden="false" customHeight="true" outlineLevel="0" collapsed="false">
      <c r="A7" s="7" t="n">
        <v>1010</v>
      </c>
      <c r="B7" s="7" t="s">
        <v>102</v>
      </c>
      <c r="C7" s="7" t="s">
        <v>97</v>
      </c>
      <c r="D7" s="7" t="s">
        <v>98</v>
      </c>
      <c r="E7" s="7" t="s">
        <v>99</v>
      </c>
      <c r="F7" s="7"/>
      <c r="G7" s="7" t="s">
        <v>103</v>
      </c>
    </row>
    <row r="8" customFormat="false" ht="15" hidden="false" customHeight="true" outlineLevel="0" collapsed="false">
      <c r="A8" s="7" t="n">
        <v>1100</v>
      </c>
      <c r="B8" s="7" t="s">
        <v>104</v>
      </c>
      <c r="C8" s="7" t="s">
        <v>97</v>
      </c>
      <c r="D8" s="7" t="s">
        <v>98</v>
      </c>
      <c r="E8" s="7" t="s">
        <v>99</v>
      </c>
      <c r="F8" s="7" t="s">
        <v>105</v>
      </c>
      <c r="G8" s="7" t="s">
        <v>106</v>
      </c>
    </row>
    <row r="9" customFormat="false" ht="15" hidden="false" customHeight="true" outlineLevel="0" collapsed="false">
      <c r="A9" s="7" t="n">
        <v>1150</v>
      </c>
      <c r="B9" s="7" t="s">
        <v>107</v>
      </c>
      <c r="C9" s="7" t="s">
        <v>97</v>
      </c>
      <c r="D9" s="7" t="s">
        <v>98</v>
      </c>
      <c r="E9" s="7" t="s">
        <v>99</v>
      </c>
      <c r="F9" s="7"/>
      <c r="G9" s="7" t="s">
        <v>106</v>
      </c>
    </row>
    <row r="10" customFormat="false" ht="15" hidden="false" customHeight="true" outlineLevel="0" collapsed="false">
      <c r="A10" s="7" t="n">
        <v>1200</v>
      </c>
      <c r="B10" s="7" t="s">
        <v>108</v>
      </c>
      <c r="C10" s="7" t="s">
        <v>97</v>
      </c>
      <c r="D10" s="7" t="s">
        <v>98</v>
      </c>
      <c r="E10" s="7" t="s">
        <v>99</v>
      </c>
      <c r="F10" s="7" t="s">
        <v>109</v>
      </c>
      <c r="G10" s="7" t="s">
        <v>110</v>
      </c>
    </row>
    <row r="11" customFormat="false" ht="15" hidden="false" customHeight="true" outlineLevel="0" collapsed="false">
      <c r="A11" s="7" t="n">
        <v>1210</v>
      </c>
      <c r="B11" s="7" t="s">
        <v>111</v>
      </c>
      <c r="C11" s="7" t="s">
        <v>97</v>
      </c>
      <c r="D11" s="7" t="s">
        <v>98</v>
      </c>
      <c r="E11" s="7" t="s">
        <v>99</v>
      </c>
      <c r="F11" s="7" t="s">
        <v>109</v>
      </c>
      <c r="G11" s="7" t="s">
        <v>110</v>
      </c>
    </row>
    <row r="12" customFormat="false" ht="15" hidden="false" customHeight="true" outlineLevel="0" collapsed="false">
      <c r="A12" s="7" t="n">
        <v>1300</v>
      </c>
      <c r="B12" s="7" t="s">
        <v>112</v>
      </c>
      <c r="C12" s="7" t="s">
        <v>97</v>
      </c>
      <c r="D12" s="7" t="s">
        <v>98</v>
      </c>
      <c r="E12" s="7" t="s">
        <v>99</v>
      </c>
      <c r="F12" s="7" t="s">
        <v>113</v>
      </c>
      <c r="G12" s="7" t="s">
        <v>114</v>
      </c>
    </row>
    <row r="13" customFormat="false" ht="15" hidden="false" customHeight="true" outlineLevel="0" collapsed="false">
      <c r="A13" s="7" t="n">
        <v>1500</v>
      </c>
      <c r="B13" s="7" t="s">
        <v>115</v>
      </c>
      <c r="C13" s="7" t="s">
        <v>97</v>
      </c>
      <c r="D13" s="7" t="s">
        <v>98</v>
      </c>
      <c r="E13" s="7" t="s">
        <v>99</v>
      </c>
      <c r="F13" s="7" t="s">
        <v>28</v>
      </c>
      <c r="G13" s="7" t="s">
        <v>114</v>
      </c>
    </row>
    <row r="14" customFormat="false" ht="15" hidden="false" customHeight="true" outlineLevel="0" collapsed="false">
      <c r="A14" s="7" t="n">
        <v>1505</v>
      </c>
      <c r="B14" s="7" t="s">
        <v>116</v>
      </c>
      <c r="C14" s="7" t="s">
        <v>97</v>
      </c>
      <c r="D14" s="7" t="s">
        <v>98</v>
      </c>
      <c r="E14" s="7" t="s">
        <v>99</v>
      </c>
      <c r="F14" s="7" t="s">
        <v>28</v>
      </c>
      <c r="G14" s="7" t="s">
        <v>114</v>
      </c>
    </row>
    <row r="15" customFormat="false" ht="15" hidden="false" customHeight="true" outlineLevel="0" collapsed="false">
      <c r="A15" s="7" t="n">
        <v>1510</v>
      </c>
      <c r="B15" s="7" t="s">
        <v>117</v>
      </c>
      <c r="C15" s="7" t="s">
        <v>97</v>
      </c>
      <c r="D15" s="7" t="s">
        <v>98</v>
      </c>
      <c r="E15" s="7" t="s">
        <v>118</v>
      </c>
      <c r="F15" s="7" t="s">
        <v>28</v>
      </c>
      <c r="G15" s="7" t="s">
        <v>114</v>
      </c>
    </row>
    <row r="16" customFormat="false" ht="15" hidden="false" customHeight="true" outlineLevel="0" collapsed="false">
      <c r="A16" s="7" t="n">
        <v>1515</v>
      </c>
      <c r="B16" s="7" t="s">
        <v>119</v>
      </c>
      <c r="C16" s="7" t="s">
        <v>97</v>
      </c>
      <c r="D16" s="7" t="s">
        <v>98</v>
      </c>
      <c r="E16" s="7" t="s">
        <v>118</v>
      </c>
      <c r="F16" s="7" t="s">
        <v>28</v>
      </c>
      <c r="G16" s="7" t="s">
        <v>114</v>
      </c>
    </row>
    <row r="17" customFormat="false" ht="15" hidden="false" customHeight="true" outlineLevel="0" collapsed="false">
      <c r="A17" s="7" t="n">
        <v>2000</v>
      </c>
      <c r="B17" s="7" t="s">
        <v>120</v>
      </c>
      <c r="C17" s="7" t="s">
        <v>121</v>
      </c>
      <c r="D17" s="7" t="s">
        <v>98</v>
      </c>
      <c r="E17" s="7" t="s">
        <v>118</v>
      </c>
      <c r="F17" s="7" t="s">
        <v>122</v>
      </c>
      <c r="G17" s="7" t="s">
        <v>123</v>
      </c>
    </row>
    <row r="18" customFormat="false" ht="15" hidden="false" customHeight="true" outlineLevel="0" collapsed="false">
      <c r="A18" s="7" t="n">
        <v>2010</v>
      </c>
      <c r="B18" s="7" t="s">
        <v>124</v>
      </c>
      <c r="C18" s="7" t="s">
        <v>121</v>
      </c>
      <c r="D18" s="7" t="s">
        <v>98</v>
      </c>
      <c r="E18" s="7" t="s">
        <v>118</v>
      </c>
      <c r="F18" s="7" t="s">
        <v>125</v>
      </c>
      <c r="G18" s="7" t="s">
        <v>114</v>
      </c>
    </row>
    <row r="19" customFormat="false" ht="15" hidden="false" customHeight="true" outlineLevel="0" collapsed="false">
      <c r="A19" s="7" t="n">
        <v>2020</v>
      </c>
      <c r="B19" s="7" t="s">
        <v>126</v>
      </c>
      <c r="C19" s="7" t="s">
        <v>121</v>
      </c>
      <c r="D19" s="7" t="s">
        <v>98</v>
      </c>
      <c r="E19" s="7" t="s">
        <v>118</v>
      </c>
      <c r="F19" s="7" t="s">
        <v>125</v>
      </c>
      <c r="G19" s="7" t="s">
        <v>110</v>
      </c>
    </row>
    <row r="20" customFormat="false" ht="15" hidden="false" customHeight="true" outlineLevel="0" collapsed="false">
      <c r="A20" s="7" t="n">
        <v>2100</v>
      </c>
      <c r="B20" s="7" t="s">
        <v>127</v>
      </c>
      <c r="C20" s="7" t="s">
        <v>121</v>
      </c>
      <c r="D20" s="7" t="s">
        <v>98</v>
      </c>
      <c r="E20" s="7" t="s">
        <v>118</v>
      </c>
      <c r="F20" s="7" t="s">
        <v>128</v>
      </c>
      <c r="G20" s="7" t="s">
        <v>129</v>
      </c>
    </row>
    <row r="21" customFormat="false" ht="15" hidden="false" customHeight="true" outlineLevel="0" collapsed="false">
      <c r="A21" s="7" t="n">
        <v>2110</v>
      </c>
      <c r="B21" s="7" t="s">
        <v>130</v>
      </c>
      <c r="C21" s="7" t="s">
        <v>121</v>
      </c>
      <c r="D21" s="7" t="s">
        <v>98</v>
      </c>
      <c r="E21" s="7" t="s">
        <v>118</v>
      </c>
      <c r="F21" s="7" t="s">
        <v>128</v>
      </c>
      <c r="G21" s="7" t="s">
        <v>129</v>
      </c>
    </row>
    <row r="22" customFormat="false" ht="15" hidden="false" customHeight="true" outlineLevel="0" collapsed="false">
      <c r="A22" s="7" t="n">
        <v>2120</v>
      </c>
      <c r="B22" s="7" t="s">
        <v>131</v>
      </c>
      <c r="C22" s="7" t="s">
        <v>121</v>
      </c>
      <c r="D22" s="7" t="s">
        <v>98</v>
      </c>
      <c r="E22" s="7" t="s">
        <v>118</v>
      </c>
      <c r="F22" s="7" t="s">
        <v>128</v>
      </c>
      <c r="G22" s="7" t="s">
        <v>129</v>
      </c>
    </row>
    <row r="23" customFormat="false" ht="15" hidden="false" customHeight="true" outlineLevel="0" collapsed="false">
      <c r="A23" s="7" t="n">
        <v>2130</v>
      </c>
      <c r="B23" s="7" t="s">
        <v>132</v>
      </c>
      <c r="C23" s="7" t="s">
        <v>121</v>
      </c>
      <c r="D23" s="7" t="s">
        <v>98</v>
      </c>
      <c r="E23" s="7" t="s">
        <v>118</v>
      </c>
      <c r="F23" s="7"/>
      <c r="G23" s="7" t="s">
        <v>129</v>
      </c>
    </row>
    <row r="24" customFormat="false" ht="15" hidden="false" customHeight="true" outlineLevel="0" collapsed="false">
      <c r="A24" s="7" t="n">
        <v>2300</v>
      </c>
      <c r="B24" s="7" t="s">
        <v>133</v>
      </c>
      <c r="C24" s="7" t="s">
        <v>121</v>
      </c>
      <c r="D24" s="7" t="s">
        <v>98</v>
      </c>
      <c r="E24" s="7" t="s">
        <v>118</v>
      </c>
      <c r="F24" s="7" t="s">
        <v>134</v>
      </c>
      <c r="G24" s="7" t="s">
        <v>114</v>
      </c>
    </row>
    <row r="25" customFormat="false" ht="15" hidden="false" customHeight="true" outlineLevel="0" collapsed="false">
      <c r="A25" s="7" t="n">
        <v>2310</v>
      </c>
      <c r="B25" s="7" t="s">
        <v>135</v>
      </c>
      <c r="C25" s="7" t="s">
        <v>97</v>
      </c>
      <c r="D25" s="7" t="s">
        <v>98</v>
      </c>
      <c r="E25" s="7" t="s">
        <v>99</v>
      </c>
      <c r="F25" s="7" t="s">
        <v>134</v>
      </c>
      <c r="G25" s="7" t="s">
        <v>114</v>
      </c>
    </row>
    <row r="26" customFormat="false" ht="15" hidden="false" customHeight="true" outlineLevel="0" collapsed="false">
      <c r="A26" s="7" t="n">
        <v>2400</v>
      </c>
      <c r="B26" s="7" t="s">
        <v>136</v>
      </c>
      <c r="C26" s="7" t="s">
        <v>121</v>
      </c>
      <c r="D26" s="7" t="s">
        <v>98</v>
      </c>
      <c r="E26" s="7" t="s">
        <v>118</v>
      </c>
      <c r="F26" s="7"/>
      <c r="G26" s="7" t="s">
        <v>103</v>
      </c>
    </row>
    <row r="27" customFormat="false" ht="15" hidden="false" customHeight="true" outlineLevel="0" collapsed="false">
      <c r="A27" s="7" t="n">
        <v>2500</v>
      </c>
      <c r="B27" s="7" t="s">
        <v>137</v>
      </c>
      <c r="C27" s="7" t="s">
        <v>121</v>
      </c>
      <c r="D27" s="7" t="s">
        <v>98</v>
      </c>
      <c r="E27" s="7" t="s">
        <v>118</v>
      </c>
      <c r="F27" s="7"/>
      <c r="G27" s="7" t="s">
        <v>101</v>
      </c>
    </row>
    <row r="28" customFormat="false" ht="15" hidden="false" customHeight="true" outlineLevel="0" collapsed="false">
      <c r="A28" s="7" t="n">
        <v>3000</v>
      </c>
      <c r="B28" s="7" t="s">
        <v>138</v>
      </c>
      <c r="C28" s="7" t="s">
        <v>139</v>
      </c>
      <c r="D28" s="7" t="s">
        <v>98</v>
      </c>
      <c r="E28" s="7" t="s">
        <v>118</v>
      </c>
      <c r="F28" s="7"/>
      <c r="G28" s="7" t="s">
        <v>140</v>
      </c>
    </row>
    <row r="29" customFormat="false" ht="15" hidden="false" customHeight="true" outlineLevel="0" collapsed="false">
      <c r="A29" s="7" t="n">
        <v>3100</v>
      </c>
      <c r="B29" s="7" t="s">
        <v>141</v>
      </c>
      <c r="C29" s="7" t="s">
        <v>139</v>
      </c>
      <c r="D29" s="7" t="s">
        <v>98</v>
      </c>
      <c r="E29" s="7" t="s">
        <v>118</v>
      </c>
      <c r="F29" s="7"/>
      <c r="G29" s="7" t="s">
        <v>140</v>
      </c>
    </row>
    <row r="30" customFormat="false" ht="15" hidden="false" customHeight="true" outlineLevel="0" collapsed="false">
      <c r="A30" s="7" t="n">
        <v>4000</v>
      </c>
      <c r="B30" s="7" t="s">
        <v>142</v>
      </c>
      <c r="C30" s="7" t="s">
        <v>143</v>
      </c>
      <c r="D30" s="7" t="s">
        <v>144</v>
      </c>
      <c r="E30" s="7" t="s">
        <v>118</v>
      </c>
      <c r="F30" s="7"/>
      <c r="G30" s="7" t="s">
        <v>114</v>
      </c>
    </row>
    <row r="31" customFormat="false" ht="15" hidden="false" customHeight="true" outlineLevel="0" collapsed="false">
      <c r="A31" s="7" t="n">
        <v>4010</v>
      </c>
      <c r="B31" s="7" t="s">
        <v>145</v>
      </c>
      <c r="C31" s="7" t="s">
        <v>143</v>
      </c>
      <c r="D31" s="7" t="s">
        <v>144</v>
      </c>
      <c r="E31" s="7" t="s">
        <v>118</v>
      </c>
      <c r="F31" s="7"/>
      <c r="G31" s="7" t="s">
        <v>114</v>
      </c>
    </row>
    <row r="32" customFormat="false" ht="15" hidden="false" customHeight="true" outlineLevel="0" collapsed="false">
      <c r="A32" s="7" t="n">
        <v>4900</v>
      </c>
      <c r="B32" s="7" t="s">
        <v>146</v>
      </c>
      <c r="C32" s="7" t="s">
        <v>143</v>
      </c>
      <c r="D32" s="7" t="s">
        <v>144</v>
      </c>
      <c r="E32" s="7" t="s">
        <v>99</v>
      </c>
      <c r="F32" s="7"/>
      <c r="G32" s="7" t="s">
        <v>114</v>
      </c>
    </row>
    <row r="33" customFormat="false" ht="15" hidden="false" customHeight="true" outlineLevel="0" collapsed="false">
      <c r="A33" s="7" t="n">
        <v>5000</v>
      </c>
      <c r="B33" s="7" t="s">
        <v>147</v>
      </c>
      <c r="C33" s="7" t="s">
        <v>148</v>
      </c>
      <c r="D33" s="7" t="s">
        <v>144</v>
      </c>
      <c r="E33" s="7" t="s">
        <v>99</v>
      </c>
      <c r="F33" s="7"/>
      <c r="G33" s="7" t="s">
        <v>110</v>
      </c>
    </row>
    <row r="34" customFormat="false" ht="15" hidden="false" customHeight="true" outlineLevel="0" collapsed="false">
      <c r="A34" s="7" t="n">
        <v>5010</v>
      </c>
      <c r="B34" s="7" t="s">
        <v>149</v>
      </c>
      <c r="C34" s="7" t="s">
        <v>148</v>
      </c>
      <c r="D34" s="7" t="s">
        <v>144</v>
      </c>
      <c r="E34" s="7" t="s">
        <v>99</v>
      </c>
      <c r="F34" s="7"/>
      <c r="G34" s="7" t="s">
        <v>110</v>
      </c>
    </row>
    <row r="35" customFormat="false" ht="15" hidden="false" customHeight="true" outlineLevel="0" collapsed="false">
      <c r="A35" s="7" t="n">
        <v>5020</v>
      </c>
      <c r="B35" s="7" t="s">
        <v>150</v>
      </c>
      <c r="C35" s="7" t="s">
        <v>148</v>
      </c>
      <c r="D35" s="7" t="s">
        <v>144</v>
      </c>
      <c r="E35" s="7" t="s">
        <v>99</v>
      </c>
      <c r="F35" s="7"/>
      <c r="G35" s="7" t="s">
        <v>110</v>
      </c>
    </row>
    <row r="36" customFormat="false" ht="15" hidden="false" customHeight="true" outlineLevel="0" collapsed="false">
      <c r="A36" s="7" t="n">
        <v>6000</v>
      </c>
      <c r="B36" s="7" t="s">
        <v>151</v>
      </c>
      <c r="C36" s="7" t="s">
        <v>152</v>
      </c>
      <c r="D36" s="7" t="s">
        <v>144</v>
      </c>
      <c r="E36" s="7" t="s">
        <v>99</v>
      </c>
      <c r="F36" s="7"/>
      <c r="G36" s="7" t="s">
        <v>129</v>
      </c>
    </row>
    <row r="37" customFormat="false" ht="15" hidden="false" customHeight="true" outlineLevel="0" collapsed="false">
      <c r="A37" s="7" t="n">
        <v>6010</v>
      </c>
      <c r="B37" s="7" t="s">
        <v>153</v>
      </c>
      <c r="C37" s="7" t="s">
        <v>152</v>
      </c>
      <c r="D37" s="7" t="s">
        <v>144</v>
      </c>
      <c r="E37" s="7" t="s">
        <v>99</v>
      </c>
      <c r="F37" s="7"/>
      <c r="G37" s="7" t="s">
        <v>129</v>
      </c>
    </row>
    <row r="38" customFormat="false" ht="15" hidden="false" customHeight="true" outlineLevel="0" collapsed="false">
      <c r="A38" s="7" t="n">
        <v>6020</v>
      </c>
      <c r="B38" s="7" t="s">
        <v>154</v>
      </c>
      <c r="C38" s="7" t="s">
        <v>152</v>
      </c>
      <c r="D38" s="7" t="s">
        <v>144</v>
      </c>
      <c r="E38" s="7" t="s">
        <v>99</v>
      </c>
      <c r="F38" s="7"/>
      <c r="G38" s="7" t="s">
        <v>129</v>
      </c>
    </row>
    <row r="39" customFormat="false" ht="15" hidden="false" customHeight="true" outlineLevel="0" collapsed="false">
      <c r="A39" s="7" t="n">
        <v>6100</v>
      </c>
      <c r="B39" s="7" t="s">
        <v>155</v>
      </c>
      <c r="C39" s="7" t="s">
        <v>152</v>
      </c>
      <c r="D39" s="7" t="s">
        <v>144</v>
      </c>
      <c r="E39" s="7" t="s">
        <v>99</v>
      </c>
      <c r="F39" s="7"/>
      <c r="G39" s="7" t="s">
        <v>114</v>
      </c>
    </row>
    <row r="40" customFormat="false" ht="15" hidden="false" customHeight="true" outlineLevel="0" collapsed="false">
      <c r="A40" s="7" t="n">
        <v>6110</v>
      </c>
      <c r="B40" s="7" t="s">
        <v>156</v>
      </c>
      <c r="C40" s="7" t="s">
        <v>152</v>
      </c>
      <c r="D40" s="7" t="s">
        <v>144</v>
      </c>
      <c r="E40" s="7" t="s">
        <v>99</v>
      </c>
      <c r="F40" s="7"/>
      <c r="G40" s="7" t="s">
        <v>156</v>
      </c>
    </row>
    <row r="41" customFormat="false" ht="15" hidden="false" customHeight="true" outlineLevel="0" collapsed="false">
      <c r="A41" s="7" t="n">
        <v>6120</v>
      </c>
      <c r="B41" s="7" t="s">
        <v>157</v>
      </c>
      <c r="C41" s="7" t="s">
        <v>152</v>
      </c>
      <c r="D41" s="7" t="s">
        <v>144</v>
      </c>
      <c r="E41" s="7" t="s">
        <v>99</v>
      </c>
      <c r="F41" s="7"/>
      <c r="G41" s="7" t="s">
        <v>114</v>
      </c>
    </row>
    <row r="42" customFormat="false" ht="15" hidden="false" customHeight="true" outlineLevel="0" collapsed="false">
      <c r="A42" s="7" t="n">
        <v>6130</v>
      </c>
      <c r="B42" s="7" t="s">
        <v>158</v>
      </c>
      <c r="C42" s="7" t="s">
        <v>152</v>
      </c>
      <c r="D42" s="7" t="s">
        <v>144</v>
      </c>
      <c r="E42" s="7" t="s">
        <v>99</v>
      </c>
      <c r="F42" s="7"/>
      <c r="G42" s="7" t="s">
        <v>159</v>
      </c>
    </row>
    <row r="43" customFormat="false" ht="15" hidden="false" customHeight="true" outlineLevel="0" collapsed="false">
      <c r="A43" s="7" t="n">
        <v>6140</v>
      </c>
      <c r="B43" s="7" t="s">
        <v>160</v>
      </c>
      <c r="C43" s="7" t="s">
        <v>152</v>
      </c>
      <c r="D43" s="7" t="s">
        <v>144</v>
      </c>
      <c r="E43" s="7" t="s">
        <v>99</v>
      </c>
      <c r="F43" s="7"/>
      <c r="G43" s="7" t="s">
        <v>114</v>
      </c>
    </row>
    <row r="44" customFormat="false" ht="15" hidden="false" customHeight="true" outlineLevel="0" collapsed="false">
      <c r="A44" s="7" t="n">
        <v>6150</v>
      </c>
      <c r="B44" s="7" t="s">
        <v>161</v>
      </c>
      <c r="C44" s="7" t="s">
        <v>152</v>
      </c>
      <c r="D44" s="7" t="s">
        <v>144</v>
      </c>
      <c r="E44" s="7" t="s">
        <v>99</v>
      </c>
      <c r="F44" s="7"/>
      <c r="G44" s="7" t="s">
        <v>101</v>
      </c>
    </row>
    <row r="45" customFormat="false" ht="15" hidden="false" customHeight="true" outlineLevel="0" collapsed="false">
      <c r="A45" s="7" t="n">
        <v>6160</v>
      </c>
      <c r="B45" s="7" t="s">
        <v>162</v>
      </c>
      <c r="C45" s="7" t="s">
        <v>152</v>
      </c>
      <c r="D45" s="7" t="s">
        <v>144</v>
      </c>
      <c r="E45" s="7" t="s">
        <v>99</v>
      </c>
      <c r="F45" s="7"/>
      <c r="G45" s="7" t="s">
        <v>114</v>
      </c>
    </row>
    <row r="46" customFormat="false" ht="15" hidden="false" customHeight="true" outlineLevel="0" collapsed="false">
      <c r="A46" s="7" t="n">
        <v>7000</v>
      </c>
      <c r="B46" s="7" t="s">
        <v>163</v>
      </c>
      <c r="C46" s="7" t="s">
        <v>152</v>
      </c>
      <c r="D46" s="7" t="s">
        <v>144</v>
      </c>
      <c r="E46" s="7" t="s">
        <v>99</v>
      </c>
      <c r="F46" s="7"/>
      <c r="G46" s="7" t="s">
        <v>101</v>
      </c>
    </row>
    <row r="49" customFormat="false" ht="15" hidden="false" customHeight="true" outlineLevel="0" collapsed="false">
      <c r="A49" s="4" t="s">
        <v>164</v>
      </c>
    </row>
    <row r="50" customFormat="false" ht="23.25" hidden="false" customHeight="true" outlineLevel="0" collapsed="false">
      <c r="A50" s="6" t="s">
        <v>165</v>
      </c>
      <c r="B50" s="6" t="s">
        <v>166</v>
      </c>
      <c r="C50" s="6" t="s">
        <v>167</v>
      </c>
      <c r="D50" s="6" t="s">
        <v>168</v>
      </c>
      <c r="E50" s="6"/>
      <c r="F50" s="6"/>
      <c r="G50" s="6"/>
    </row>
    <row r="51" customFormat="false" ht="15" hidden="false" customHeight="true" outlineLevel="0" collapsed="false">
      <c r="A51" s="19" t="n">
        <v>46217</v>
      </c>
      <c r="B51" s="7" t="s">
        <v>169</v>
      </c>
      <c r="C51" s="7" t="s">
        <v>110</v>
      </c>
      <c r="D51" s="7" t="s">
        <v>140</v>
      </c>
    </row>
    <row r="52" customFormat="false" ht="15" hidden="false" customHeight="true" outlineLevel="0" collapsed="false">
      <c r="A52" s="19" t="n">
        <v>46237</v>
      </c>
      <c r="B52" s="7" t="s">
        <v>170</v>
      </c>
      <c r="C52" s="7" t="s">
        <v>114</v>
      </c>
      <c r="D52" s="7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4" min="4" style="1" width="10"/>
    <col collapsed="false" customWidth="true" hidden="false" outlineLevel="0" max="9" min="5" style="1" width="17"/>
  </cols>
  <sheetData>
    <row r="1" customFormat="false" ht="17.25" hidden="false" customHeight="true" outlineLevel="0" collapsed="false">
      <c r="A1" s="2" t="s">
        <v>171</v>
      </c>
    </row>
    <row r="2" customFormat="false" ht="15" hidden="false" customHeight="true" outlineLevel="0" collapsed="false">
      <c r="A2" s="3" t="s">
        <v>172</v>
      </c>
    </row>
    <row r="3" customFormat="false" ht="15" hidden="false" customHeight="true" outlineLevel="0" collapsed="false">
      <c r="A3" s="8" t="s">
        <v>43</v>
      </c>
      <c r="B3" s="11" t="n">
        <f aca="false">Inputs!$C$5</f>
        <v>46295</v>
      </c>
    </row>
    <row r="5" customFormat="false" ht="23.25" hidden="false" customHeight="true" outlineLevel="0" collapsed="false">
      <c r="A5" s="6" t="s">
        <v>89</v>
      </c>
      <c r="B5" s="6" t="s">
        <v>90</v>
      </c>
      <c r="C5" s="6" t="s">
        <v>91</v>
      </c>
      <c r="D5" s="6" t="s">
        <v>92</v>
      </c>
      <c r="E5" s="6" t="s">
        <v>173</v>
      </c>
      <c r="F5" s="6" t="s">
        <v>174</v>
      </c>
      <c r="G5" s="6" t="s">
        <v>175</v>
      </c>
      <c r="H5" s="6" t="s">
        <v>176</v>
      </c>
      <c r="I5" s="6" t="s">
        <v>177</v>
      </c>
    </row>
    <row r="6" customFormat="false" ht="15" hidden="false" customHeight="true" outlineLevel="0" collapsed="false">
      <c r="A6" s="7" t="n">
        <v>1000</v>
      </c>
      <c r="B6" s="9" t="str">
        <f aca="false">INDEX(CoA!$B$6:$B$46,MATCH($A6,CoA!$A$6:$A$46,0))</f>
        <v>Cash at bank - operating</v>
      </c>
      <c r="C6" s="9" t="str">
        <f aca="false">INDEX(CoA!$C$6:$C$46,MATCH($A6,CoA!$A$6:$A$46,0))</f>
        <v>Asset</v>
      </c>
      <c r="D6" s="9" t="str">
        <f aca="false">INDEX(CoA!$D$6:$D$46,MATCH($A6,CoA!$A$6:$A$46,0))</f>
        <v>BS</v>
      </c>
      <c r="E6" s="20" t="n">
        <v>6500000</v>
      </c>
      <c r="F6" s="20" t="n">
        <v>7190000</v>
      </c>
      <c r="G6" s="21" t="n">
        <f aca="false">F6-E6</f>
        <v>690000</v>
      </c>
    </row>
    <row r="7" customFormat="false" ht="15" hidden="false" customHeight="true" outlineLevel="0" collapsed="false">
      <c r="A7" s="7" t="n">
        <v>1010</v>
      </c>
      <c r="B7" s="9" t="str">
        <f aca="false">INDEX(CoA!$B$6:$B$46,MATCH($A7,CoA!$A$6:$A$46,0))</f>
        <v>Store floats and cash on hand</v>
      </c>
      <c r="C7" s="9" t="str">
        <f aca="false">INDEX(CoA!$C$6:$C$46,MATCH($A7,CoA!$A$6:$A$46,0))</f>
        <v>Asset</v>
      </c>
      <c r="D7" s="9" t="str">
        <f aca="false">INDEX(CoA!$D$6:$D$46,MATCH($A7,CoA!$A$6:$A$46,0))</f>
        <v>BS</v>
      </c>
      <c r="E7" s="20" t="n">
        <v>400000</v>
      </c>
      <c r="F7" s="20" t="n">
        <v>410000</v>
      </c>
      <c r="G7" s="21" t="n">
        <f aca="false">F7-E7</f>
        <v>10000</v>
      </c>
    </row>
    <row r="8" customFormat="false" ht="15" hidden="false" customHeight="true" outlineLevel="0" collapsed="false">
      <c r="A8" s="7" t="n">
        <v>1100</v>
      </c>
      <c r="B8" s="9" t="str">
        <f aca="false">INDEX(CoA!$B$6:$B$46,MATCH($A8,CoA!$A$6:$A$46,0))</f>
        <v>Trade debtors</v>
      </c>
      <c r="C8" s="9" t="str">
        <f aca="false">INDEX(CoA!$C$6:$C$46,MATCH($A8,CoA!$A$6:$A$46,0))</f>
        <v>Asset</v>
      </c>
      <c r="D8" s="9" t="str">
        <f aca="false">INDEX(CoA!$D$6:$D$46,MATCH($A8,CoA!$A$6:$A$46,0))</f>
        <v>BS</v>
      </c>
      <c r="E8" s="20" t="n">
        <v>2980000</v>
      </c>
      <c r="F8" s="20" t="n">
        <v>3150000</v>
      </c>
      <c r="G8" s="21" t="n">
        <f aca="false">F8-E8</f>
        <v>170000</v>
      </c>
    </row>
    <row r="9" customFormat="false" ht="15" hidden="false" customHeight="true" outlineLevel="0" collapsed="false">
      <c r="A9" s="7" t="n">
        <v>1150</v>
      </c>
      <c r="B9" s="9" t="str">
        <f aca="false">INDEX(CoA!$B$6:$B$46,MATCH($A9,CoA!$A$6:$A$46,0))</f>
        <v>Other receivables</v>
      </c>
      <c r="C9" s="9" t="str">
        <f aca="false">INDEX(CoA!$C$6:$C$46,MATCH($A9,CoA!$A$6:$A$46,0))</f>
        <v>Asset</v>
      </c>
      <c r="D9" s="9" t="str">
        <f aca="false">INDEX(CoA!$D$6:$D$46,MATCH($A9,CoA!$A$6:$A$46,0))</f>
        <v>BS</v>
      </c>
      <c r="E9" s="20" t="n">
        <v>590000</v>
      </c>
      <c r="F9" s="20" t="n">
        <v>640000</v>
      </c>
      <c r="G9" s="21" t="n">
        <f aca="false">F9-E9</f>
        <v>50000</v>
      </c>
    </row>
    <row r="10" customFormat="false" ht="15" hidden="false" customHeight="true" outlineLevel="0" collapsed="false">
      <c r="A10" s="7" t="n">
        <v>1200</v>
      </c>
      <c r="B10" s="9" t="str">
        <f aca="false">INDEX(CoA!$B$6:$B$46,MATCH($A10,CoA!$A$6:$A$46,0))</f>
        <v>Inventory - finished goods</v>
      </c>
      <c r="C10" s="9" t="str">
        <f aca="false">INDEX(CoA!$C$6:$C$46,MATCH($A10,CoA!$A$6:$A$46,0))</f>
        <v>Asset</v>
      </c>
      <c r="D10" s="9" t="str">
        <f aca="false">INDEX(CoA!$D$6:$D$46,MATCH($A10,CoA!$A$6:$A$46,0))</f>
        <v>BS</v>
      </c>
      <c r="E10" s="20" t="n">
        <v>93200000</v>
      </c>
      <c r="F10" s="20" t="n">
        <v>96500000</v>
      </c>
      <c r="G10" s="21" t="n">
        <f aca="false">F10-E10</f>
        <v>3300000</v>
      </c>
    </row>
    <row r="11" customFormat="false" ht="15" hidden="false" customHeight="true" outlineLevel="0" collapsed="false">
      <c r="A11" s="7" t="n">
        <v>1210</v>
      </c>
      <c r="B11" s="9" t="str">
        <f aca="false">INDEX(CoA!$B$6:$B$46,MATCH($A11,CoA!$A$6:$A$46,0))</f>
        <v>Inventory in transit</v>
      </c>
      <c r="C11" s="9" t="str">
        <f aca="false">INDEX(CoA!$C$6:$C$46,MATCH($A11,CoA!$A$6:$A$46,0))</f>
        <v>Asset</v>
      </c>
      <c r="D11" s="9" t="str">
        <f aca="false">INDEX(CoA!$D$6:$D$46,MATCH($A11,CoA!$A$6:$A$46,0))</f>
        <v>BS</v>
      </c>
      <c r="E11" s="20" t="n">
        <v>9100000</v>
      </c>
      <c r="F11" s="20" t="n">
        <v>8200000</v>
      </c>
      <c r="G11" s="21" t="n">
        <f aca="false">F11-E11</f>
        <v>-900000</v>
      </c>
    </row>
    <row r="12" customFormat="false" ht="15" hidden="false" customHeight="true" outlineLevel="0" collapsed="false">
      <c r="A12" s="7" t="n">
        <v>1300</v>
      </c>
      <c r="B12" s="9" t="str">
        <f aca="false">INDEX(CoA!$B$6:$B$46,MATCH($A12,CoA!$A$6:$A$46,0))</f>
        <v>Prepayments</v>
      </c>
      <c r="C12" s="9" t="str">
        <f aca="false">INDEX(CoA!$C$6:$C$46,MATCH($A12,CoA!$A$6:$A$46,0))</f>
        <v>Asset</v>
      </c>
      <c r="D12" s="9" t="str">
        <f aca="false">INDEX(CoA!$D$6:$D$46,MATCH($A12,CoA!$A$6:$A$46,0))</f>
        <v>BS</v>
      </c>
      <c r="E12" s="20" t="n">
        <v>5150000</v>
      </c>
      <c r="F12" s="20" t="n">
        <v>5400000</v>
      </c>
      <c r="G12" s="21" t="n">
        <f aca="false">F12-E12</f>
        <v>250000</v>
      </c>
    </row>
    <row r="13" customFormat="false" ht="15" hidden="false" customHeight="true" outlineLevel="0" collapsed="false">
      <c r="A13" s="7" t="n">
        <v>1500</v>
      </c>
      <c r="B13" s="9" t="str">
        <f aca="false">INDEX(CoA!$B$6:$B$46,MATCH($A13,CoA!$A$6:$A$46,0))</f>
        <v>Store fit-out - cost</v>
      </c>
      <c r="C13" s="9" t="str">
        <f aca="false">INDEX(CoA!$C$6:$C$46,MATCH($A13,CoA!$A$6:$A$46,0))</f>
        <v>Asset</v>
      </c>
      <c r="D13" s="9" t="str">
        <f aca="false">INDEX(CoA!$D$6:$D$46,MATCH($A13,CoA!$A$6:$A$46,0))</f>
        <v>BS</v>
      </c>
      <c r="E13" s="20" t="n">
        <v>146300000</v>
      </c>
      <c r="F13" s="20" t="n">
        <v>148000000</v>
      </c>
      <c r="G13" s="21" t="n">
        <f aca="false">F13-E13</f>
        <v>1700000</v>
      </c>
    </row>
    <row r="14" customFormat="false" ht="15" hidden="false" customHeight="true" outlineLevel="0" collapsed="false">
      <c r="A14" s="7" t="n">
        <v>1505</v>
      </c>
      <c r="B14" s="9" t="str">
        <f aca="false">INDEX(CoA!$B$6:$B$46,MATCH($A14,CoA!$A$6:$A$46,0))</f>
        <v>IT equipment - cost</v>
      </c>
      <c r="C14" s="9" t="str">
        <f aca="false">INDEX(CoA!$C$6:$C$46,MATCH($A14,CoA!$A$6:$A$46,0))</f>
        <v>Asset</v>
      </c>
      <c r="D14" s="9" t="str">
        <f aca="false">INDEX(CoA!$D$6:$D$46,MATCH($A14,CoA!$A$6:$A$46,0))</f>
        <v>BS</v>
      </c>
      <c r="E14" s="20" t="n">
        <v>21100000</v>
      </c>
      <c r="F14" s="20" t="n">
        <v>21500000</v>
      </c>
      <c r="G14" s="21" t="n">
        <f aca="false">F14-E14</f>
        <v>400000</v>
      </c>
    </row>
    <row r="15" customFormat="false" ht="15" hidden="false" customHeight="true" outlineLevel="0" collapsed="false">
      <c r="A15" s="7" t="n">
        <v>1510</v>
      </c>
      <c r="B15" s="9" t="str">
        <f aca="false">INDEX(CoA!$B$6:$B$46,MATCH($A15,CoA!$A$6:$A$46,0))</f>
        <v>Store fit-out - accumulated depreciation</v>
      </c>
      <c r="C15" s="9" t="str">
        <f aca="false">INDEX(CoA!$C$6:$C$46,MATCH($A15,CoA!$A$6:$A$46,0))</f>
        <v>Asset</v>
      </c>
      <c r="D15" s="9" t="str">
        <f aca="false">INDEX(CoA!$D$6:$D$46,MATCH($A15,CoA!$A$6:$A$46,0))</f>
        <v>BS</v>
      </c>
      <c r="E15" s="20" t="n">
        <v>-70000000</v>
      </c>
      <c r="F15" s="20" t="n">
        <v>-71200000</v>
      </c>
      <c r="G15" s="21" t="n">
        <f aca="false">F15-E15</f>
        <v>-1200000</v>
      </c>
    </row>
    <row r="16" customFormat="false" ht="15" hidden="false" customHeight="true" outlineLevel="0" collapsed="false">
      <c r="A16" s="7" t="n">
        <v>1515</v>
      </c>
      <c r="B16" s="9" t="str">
        <f aca="false">INDEX(CoA!$B$6:$B$46,MATCH($A16,CoA!$A$6:$A$46,0))</f>
        <v>IT equipment - accumulated depreciation</v>
      </c>
      <c r="C16" s="9" t="str">
        <f aca="false">INDEX(CoA!$C$6:$C$46,MATCH($A16,CoA!$A$6:$A$46,0))</f>
        <v>Asset</v>
      </c>
      <c r="D16" s="9" t="str">
        <f aca="false">INDEX(CoA!$D$6:$D$46,MATCH($A16,CoA!$A$6:$A$46,0))</f>
        <v>BS</v>
      </c>
      <c r="E16" s="20" t="n">
        <v>-12950000</v>
      </c>
      <c r="F16" s="20" t="n">
        <v>-13400000</v>
      </c>
      <c r="G16" s="21" t="n">
        <f aca="false">F16-E16</f>
        <v>-450000</v>
      </c>
    </row>
    <row r="17" customFormat="false" ht="15" hidden="false" customHeight="true" outlineLevel="0" collapsed="false">
      <c r="A17" s="7" t="n">
        <v>2000</v>
      </c>
      <c r="B17" s="9" t="str">
        <f aca="false">INDEX(CoA!$B$6:$B$46,MATCH($A17,CoA!$A$6:$A$46,0))</f>
        <v>Trade creditors</v>
      </c>
      <c r="C17" s="9" t="str">
        <f aca="false">INDEX(CoA!$C$6:$C$46,MATCH($A17,CoA!$A$6:$A$46,0))</f>
        <v>Liability</v>
      </c>
      <c r="D17" s="9" t="str">
        <f aca="false">INDEX(CoA!$D$6:$D$46,MATCH($A17,CoA!$A$6:$A$46,0))</f>
        <v>BS</v>
      </c>
      <c r="E17" s="20" t="n">
        <v>-26400000</v>
      </c>
      <c r="F17" s="20" t="n">
        <v>-27800000</v>
      </c>
      <c r="G17" s="21" t="n">
        <f aca="false">F17-E17</f>
        <v>-1400000</v>
      </c>
    </row>
    <row r="18" customFormat="false" ht="15" hidden="false" customHeight="true" outlineLevel="0" collapsed="false">
      <c r="A18" s="7" t="n">
        <v>2010</v>
      </c>
      <c r="B18" s="9" t="str">
        <f aca="false">INDEX(CoA!$B$6:$B$46,MATCH($A18,CoA!$A$6:$A$46,0))</f>
        <v>Accrued expenses</v>
      </c>
      <c r="C18" s="9" t="str">
        <f aca="false">INDEX(CoA!$C$6:$C$46,MATCH($A18,CoA!$A$6:$A$46,0))</f>
        <v>Liability</v>
      </c>
      <c r="D18" s="9" t="str">
        <f aca="false">INDEX(CoA!$D$6:$D$46,MATCH($A18,CoA!$A$6:$A$46,0))</f>
        <v>BS</v>
      </c>
      <c r="E18" s="20" t="n">
        <v>-6300000</v>
      </c>
      <c r="F18" s="20" t="n">
        <v>-6900000</v>
      </c>
      <c r="G18" s="21" t="n">
        <f aca="false">F18-E18</f>
        <v>-600000</v>
      </c>
    </row>
    <row r="19" customFormat="false" ht="15" hidden="false" customHeight="true" outlineLevel="0" collapsed="false">
      <c r="A19" s="7" t="n">
        <v>2020</v>
      </c>
      <c r="B19" s="9" t="str">
        <f aca="false">INDEX(CoA!$B$6:$B$46,MATCH($A19,CoA!$A$6:$A$46,0))</f>
        <v>Goods received not invoiced (GRNI)</v>
      </c>
      <c r="C19" s="9" t="str">
        <f aca="false">INDEX(CoA!$C$6:$C$46,MATCH($A19,CoA!$A$6:$A$46,0))</f>
        <v>Liability</v>
      </c>
      <c r="D19" s="9" t="str">
        <f aca="false">INDEX(CoA!$D$6:$D$46,MATCH($A19,CoA!$A$6:$A$46,0))</f>
        <v>BS</v>
      </c>
      <c r="E19" s="20" t="n">
        <v>-4900000</v>
      </c>
      <c r="F19" s="20" t="n">
        <v>-4300000</v>
      </c>
      <c r="G19" s="21" t="n">
        <f aca="false">F19-E19</f>
        <v>600000</v>
      </c>
    </row>
    <row r="20" customFormat="false" ht="15" hidden="false" customHeight="true" outlineLevel="0" collapsed="false">
      <c r="A20" s="7" t="n">
        <v>2100</v>
      </c>
      <c r="B20" s="9" t="str">
        <f aca="false">INDEX(CoA!$B$6:$B$46,MATCH($A20,CoA!$A$6:$A$46,0))</f>
        <v>PAYG withholding payable</v>
      </c>
      <c r="C20" s="9" t="str">
        <f aca="false">INDEX(CoA!$C$6:$C$46,MATCH($A20,CoA!$A$6:$A$46,0))</f>
        <v>Liability</v>
      </c>
      <c r="D20" s="9" t="str">
        <f aca="false">INDEX(CoA!$D$6:$D$46,MATCH($A20,CoA!$A$6:$A$46,0))</f>
        <v>BS</v>
      </c>
      <c r="E20" s="20" t="n">
        <v>-1880000</v>
      </c>
      <c r="F20" s="20" t="n">
        <v>-1950000</v>
      </c>
      <c r="G20" s="21" t="n">
        <f aca="false">F20-E20</f>
        <v>-70000</v>
      </c>
    </row>
    <row r="21" customFormat="false" ht="15" hidden="false" customHeight="true" outlineLevel="0" collapsed="false">
      <c r="A21" s="7" t="n">
        <v>2110</v>
      </c>
      <c r="B21" s="9" t="str">
        <f aca="false">INDEX(CoA!$B$6:$B$46,MATCH($A21,CoA!$A$6:$A$46,0))</f>
        <v>Superannuation payable</v>
      </c>
      <c r="C21" s="9" t="str">
        <f aca="false">INDEX(CoA!$C$6:$C$46,MATCH($A21,CoA!$A$6:$A$46,0))</f>
        <v>Liability</v>
      </c>
      <c r="D21" s="9" t="str">
        <f aca="false">INDEX(CoA!$D$6:$D$46,MATCH($A21,CoA!$A$6:$A$46,0))</f>
        <v>BS</v>
      </c>
      <c r="E21" s="20" t="n">
        <v>-330000</v>
      </c>
      <c r="F21" s="20" t="n">
        <v>-345000</v>
      </c>
      <c r="G21" s="21" t="n">
        <f aca="false">F21-E21</f>
        <v>-15000</v>
      </c>
    </row>
    <row r="22" customFormat="false" ht="15" hidden="false" customHeight="true" outlineLevel="0" collapsed="false">
      <c r="A22" s="7" t="n">
        <v>2120</v>
      </c>
      <c r="B22" s="9" t="str">
        <f aca="false">INDEX(CoA!$B$6:$B$46,MATCH($A22,CoA!$A$6:$A$46,0))</f>
        <v>Accrued wages</v>
      </c>
      <c r="C22" s="9" t="str">
        <f aca="false">INDEX(CoA!$C$6:$C$46,MATCH($A22,CoA!$A$6:$A$46,0))</f>
        <v>Liability</v>
      </c>
      <c r="D22" s="9" t="str">
        <f aca="false">INDEX(CoA!$D$6:$D$46,MATCH($A22,CoA!$A$6:$A$46,0))</f>
        <v>BS</v>
      </c>
      <c r="E22" s="20" t="n">
        <v>-2150000</v>
      </c>
      <c r="F22" s="20" t="n">
        <v>-2300000</v>
      </c>
      <c r="G22" s="21" t="n">
        <f aca="false">F22-E22</f>
        <v>-150000</v>
      </c>
    </row>
    <row r="23" customFormat="false" ht="15" hidden="false" customHeight="true" outlineLevel="0" collapsed="false">
      <c r="A23" s="7" t="n">
        <v>2130</v>
      </c>
      <c r="B23" s="9" t="str">
        <f aca="false">INDEX(CoA!$B$6:$B$46,MATCH($A23,CoA!$A$6:$A$46,0))</f>
        <v>Provision - annual leave</v>
      </c>
      <c r="C23" s="9" t="str">
        <f aca="false">INDEX(CoA!$C$6:$C$46,MATCH($A23,CoA!$A$6:$A$46,0))</f>
        <v>Liability</v>
      </c>
      <c r="D23" s="9" t="str">
        <f aca="false">INDEX(CoA!$D$6:$D$46,MATCH($A23,CoA!$A$6:$A$46,0))</f>
        <v>BS</v>
      </c>
      <c r="E23" s="20" t="n">
        <v>-5050000</v>
      </c>
      <c r="F23" s="20" t="n">
        <v>-5100000</v>
      </c>
      <c r="G23" s="21" t="n">
        <f aca="false">F23-E23</f>
        <v>-50000</v>
      </c>
    </row>
    <row r="24" customFormat="false" ht="15" hidden="false" customHeight="true" outlineLevel="0" collapsed="false">
      <c r="A24" s="7" t="n">
        <v>2300</v>
      </c>
      <c r="B24" s="9" t="str">
        <f aca="false">INDEX(CoA!$B$6:$B$46,MATCH($A24,CoA!$A$6:$A$46,0))</f>
        <v>GST collected</v>
      </c>
      <c r="C24" s="9" t="str">
        <f aca="false">INDEX(CoA!$C$6:$C$46,MATCH($A24,CoA!$A$6:$A$46,0))</f>
        <v>Liability</v>
      </c>
      <c r="D24" s="9" t="str">
        <f aca="false">INDEX(CoA!$D$6:$D$46,MATCH($A24,CoA!$A$6:$A$46,0))</f>
        <v>BS</v>
      </c>
      <c r="E24" s="20" t="n">
        <v>-4880000</v>
      </c>
      <c r="F24" s="20" t="n">
        <v>-5015000</v>
      </c>
      <c r="G24" s="21" t="n">
        <f aca="false">F24-E24</f>
        <v>-135000</v>
      </c>
    </row>
    <row r="25" customFormat="false" ht="15" hidden="false" customHeight="true" outlineLevel="0" collapsed="false">
      <c r="A25" s="7" t="n">
        <v>2310</v>
      </c>
      <c r="B25" s="9" t="str">
        <f aca="false">INDEX(CoA!$B$6:$B$46,MATCH($A25,CoA!$A$6:$A$46,0))</f>
        <v>GST paid (input tax credits)</v>
      </c>
      <c r="C25" s="9" t="str">
        <f aca="false">INDEX(CoA!$C$6:$C$46,MATCH($A25,CoA!$A$6:$A$46,0))</f>
        <v>Asset</v>
      </c>
      <c r="D25" s="9" t="str">
        <f aca="false">INDEX(CoA!$D$6:$D$46,MATCH($A25,CoA!$A$6:$A$46,0))</f>
        <v>BS</v>
      </c>
      <c r="E25" s="20" t="n">
        <v>2280000</v>
      </c>
      <c r="F25" s="20" t="n">
        <v>2350000</v>
      </c>
      <c r="G25" s="21" t="n">
        <f aca="false">F25-E25</f>
        <v>70000</v>
      </c>
    </row>
    <row r="26" customFormat="false" ht="15" hidden="false" customHeight="true" outlineLevel="0" collapsed="false">
      <c r="A26" s="7" t="n">
        <v>2400</v>
      </c>
      <c r="B26" s="9" t="str">
        <f aca="false">INDEX(CoA!$B$6:$B$46,MATCH($A26,CoA!$A$6:$A$46,0))</f>
        <v>Gift card liability</v>
      </c>
      <c r="C26" s="9" t="str">
        <f aca="false">INDEX(CoA!$C$6:$C$46,MATCH($A26,CoA!$A$6:$A$46,0))</f>
        <v>Liability</v>
      </c>
      <c r="D26" s="9" t="str">
        <f aca="false">INDEX(CoA!$D$6:$D$46,MATCH($A26,CoA!$A$6:$A$46,0))</f>
        <v>BS</v>
      </c>
      <c r="E26" s="20" t="n">
        <v>-3550000</v>
      </c>
      <c r="F26" s="20" t="n">
        <v>-3700000</v>
      </c>
      <c r="G26" s="21" t="n">
        <f aca="false">F26-E26</f>
        <v>-150000</v>
      </c>
    </row>
    <row r="27" customFormat="false" ht="15" hidden="false" customHeight="true" outlineLevel="0" collapsed="false">
      <c r="A27" s="7" t="n">
        <v>2500</v>
      </c>
      <c r="B27" s="9" t="str">
        <f aca="false">INDEX(CoA!$B$6:$B$46,MATCH($A27,CoA!$A$6:$A$46,0))</f>
        <v>Borrowings</v>
      </c>
      <c r="C27" s="9" t="str">
        <f aca="false">INDEX(CoA!$C$6:$C$46,MATCH($A27,CoA!$A$6:$A$46,0))</f>
        <v>Liability</v>
      </c>
      <c r="D27" s="9" t="str">
        <f aca="false">INDEX(CoA!$D$6:$D$46,MATCH($A27,CoA!$A$6:$A$46,0))</f>
        <v>BS</v>
      </c>
      <c r="E27" s="20" t="n">
        <v>-45000000</v>
      </c>
      <c r="F27" s="20" t="n">
        <v>-45000000</v>
      </c>
      <c r="G27" s="21" t="n">
        <f aca="false">F27-E27</f>
        <v>0</v>
      </c>
    </row>
    <row r="28" customFormat="false" ht="15" hidden="false" customHeight="true" outlineLevel="0" collapsed="false">
      <c r="A28" s="7" t="n">
        <v>3000</v>
      </c>
      <c r="B28" s="9" t="str">
        <f aca="false">INDEX(CoA!$B$6:$B$46,MATCH($A28,CoA!$A$6:$A$46,0))</f>
        <v>Share capital</v>
      </c>
      <c r="C28" s="9" t="str">
        <f aca="false">INDEX(CoA!$C$6:$C$46,MATCH($A28,CoA!$A$6:$A$46,0))</f>
        <v>Equity</v>
      </c>
      <c r="D28" s="9" t="str">
        <f aca="false">INDEX(CoA!$D$6:$D$46,MATCH($A28,CoA!$A$6:$A$46,0))</f>
        <v>BS</v>
      </c>
      <c r="E28" s="20" t="n">
        <v>-80000000</v>
      </c>
      <c r="F28" s="20" t="n">
        <v>-80000000</v>
      </c>
      <c r="G28" s="21" t="n">
        <f aca="false">F28-E28</f>
        <v>0</v>
      </c>
    </row>
    <row r="29" customFormat="false" ht="15" hidden="false" customHeight="true" outlineLevel="0" collapsed="false">
      <c r="A29" s="7" t="n">
        <v>3100</v>
      </c>
      <c r="B29" s="9" t="str">
        <f aca="false">INDEX(CoA!$B$6:$B$46,MATCH($A29,CoA!$A$6:$A$46,0))</f>
        <v>Retained earnings - opening</v>
      </c>
      <c r="C29" s="9" t="str">
        <f aca="false">INDEX(CoA!$C$6:$C$46,MATCH($A29,CoA!$A$6:$A$46,0))</f>
        <v>Equity</v>
      </c>
      <c r="D29" s="9" t="str">
        <f aca="false">INDEX(CoA!$D$6:$D$46,MATCH($A29,CoA!$A$6:$A$46,0))</f>
        <v>BS</v>
      </c>
      <c r="E29" s="20" t="n">
        <v>-20098000</v>
      </c>
      <c r="F29" s="20" t="n">
        <v>-20098000</v>
      </c>
      <c r="G29" s="21" t="n">
        <f aca="false">F29-E29</f>
        <v>0</v>
      </c>
    </row>
    <row r="30" customFormat="false" ht="15" hidden="false" customHeight="true" outlineLevel="0" collapsed="false">
      <c r="A30" s="7" t="n">
        <v>4000</v>
      </c>
      <c r="B30" s="9" t="str">
        <f aca="false">INDEX(CoA!$B$6:$B$46,MATCH($A30,CoA!$A$6:$A$46,0))</f>
        <v>Sales - stores</v>
      </c>
      <c r="C30" s="9" t="str">
        <f aca="false">INDEX(CoA!$C$6:$C$46,MATCH($A30,CoA!$A$6:$A$46,0))</f>
        <v>Revenue</v>
      </c>
      <c r="D30" s="9" t="str">
        <f aca="false">INDEX(CoA!$D$6:$D$46,MATCH($A30,CoA!$A$6:$A$46,0))</f>
        <v>PL</v>
      </c>
      <c r="E30" s="20" t="n">
        <v>-74108000</v>
      </c>
      <c r="F30" s="20" t="n">
        <v>-112308000</v>
      </c>
      <c r="G30" s="21" t="n">
        <f aca="false">F30-E30</f>
        <v>-38200000</v>
      </c>
      <c r="H30" s="20" t="n">
        <v>-37600000</v>
      </c>
      <c r="I30" s="20" t="n">
        <v>-35100000</v>
      </c>
    </row>
    <row r="31" customFormat="false" ht="15" hidden="false" customHeight="true" outlineLevel="0" collapsed="false">
      <c r="A31" s="7" t="n">
        <v>4010</v>
      </c>
      <c r="B31" s="9" t="str">
        <f aca="false">INDEX(CoA!$B$6:$B$46,MATCH($A31,CoA!$A$6:$A$46,0))</f>
        <v>Sales - online</v>
      </c>
      <c r="C31" s="9" t="str">
        <f aca="false">INDEX(CoA!$C$6:$C$46,MATCH($A31,CoA!$A$6:$A$46,0))</f>
        <v>Revenue</v>
      </c>
      <c r="D31" s="9" t="str">
        <f aca="false">INDEX(CoA!$D$6:$D$46,MATCH($A31,CoA!$A$6:$A$46,0))</f>
        <v>PL</v>
      </c>
      <c r="E31" s="20" t="n">
        <v>-26966000</v>
      </c>
      <c r="F31" s="20" t="n">
        <v>-40866000</v>
      </c>
      <c r="G31" s="21" t="n">
        <f aca="false">F31-E31</f>
        <v>-13900000</v>
      </c>
      <c r="H31" s="20" t="n">
        <v>-14500000</v>
      </c>
      <c r="I31" s="20" t="n">
        <v>-11200000</v>
      </c>
    </row>
    <row r="32" customFormat="false" ht="15" hidden="false" customHeight="true" outlineLevel="0" collapsed="false">
      <c r="A32" s="7" t="n">
        <v>4900</v>
      </c>
      <c r="B32" s="9" t="str">
        <f aca="false">INDEX(CoA!$B$6:$B$46,MATCH($A32,CoA!$A$6:$A$46,0))</f>
        <v>Sales returns and discounts</v>
      </c>
      <c r="C32" s="9" t="str">
        <f aca="false">INDEX(CoA!$C$6:$C$46,MATCH($A32,CoA!$A$6:$A$46,0))</f>
        <v>Revenue</v>
      </c>
      <c r="D32" s="9" t="str">
        <f aca="false">INDEX(CoA!$D$6:$D$46,MATCH($A32,CoA!$A$6:$A$46,0))</f>
        <v>PL</v>
      </c>
      <c r="E32" s="20" t="n">
        <v>3783000</v>
      </c>
      <c r="F32" s="20" t="n">
        <v>5733000</v>
      </c>
      <c r="G32" s="21" t="n">
        <f aca="false">F32-E32</f>
        <v>1950000</v>
      </c>
      <c r="H32" s="20" t="n">
        <v>1800000</v>
      </c>
      <c r="I32" s="20" t="n">
        <v>1700000</v>
      </c>
    </row>
    <row r="33" customFormat="false" ht="15" hidden="false" customHeight="true" outlineLevel="0" collapsed="false">
      <c r="A33" s="7" t="n">
        <v>5000</v>
      </c>
      <c r="B33" s="9" t="str">
        <f aca="false">INDEX(CoA!$B$6:$B$46,MATCH($A33,CoA!$A$6:$A$46,0))</f>
        <v>Cost of goods sold</v>
      </c>
      <c r="C33" s="9" t="str">
        <f aca="false">INDEX(CoA!$C$6:$C$46,MATCH($A33,CoA!$A$6:$A$46,0))</f>
        <v>COGS</v>
      </c>
      <c r="D33" s="9" t="str">
        <f aca="false">INDEX(CoA!$D$6:$D$46,MATCH($A33,CoA!$A$6:$A$46,0))</f>
        <v>PL</v>
      </c>
      <c r="E33" s="20" t="n">
        <v>38024000</v>
      </c>
      <c r="F33" s="20" t="n">
        <v>57624000</v>
      </c>
      <c r="G33" s="21" t="n">
        <f aca="false">F33-E33</f>
        <v>19600000</v>
      </c>
      <c r="H33" s="20" t="n">
        <v>19300000</v>
      </c>
      <c r="I33" s="20" t="n">
        <v>18200000</v>
      </c>
    </row>
    <row r="34" customFormat="false" ht="15" hidden="false" customHeight="true" outlineLevel="0" collapsed="false">
      <c r="A34" s="7" t="n">
        <v>5010</v>
      </c>
      <c r="B34" s="9" t="str">
        <f aca="false">INDEX(CoA!$B$6:$B$46,MATCH($A34,CoA!$A$6:$A$46,0))</f>
        <v>Freight inwards</v>
      </c>
      <c r="C34" s="9" t="str">
        <f aca="false">INDEX(CoA!$C$6:$C$46,MATCH($A34,CoA!$A$6:$A$46,0))</f>
        <v>COGS</v>
      </c>
      <c r="D34" s="9" t="str">
        <f aca="false">INDEX(CoA!$D$6:$D$46,MATCH($A34,CoA!$A$6:$A$46,0))</f>
        <v>PL</v>
      </c>
      <c r="E34" s="20" t="n">
        <v>3298000</v>
      </c>
      <c r="F34" s="20" t="n">
        <v>4998000</v>
      </c>
      <c r="G34" s="21" t="n">
        <f aca="false">F34-E34</f>
        <v>1700000</v>
      </c>
      <c r="H34" s="20" t="n">
        <v>1600000</v>
      </c>
      <c r="I34" s="20" t="n">
        <v>1450000</v>
      </c>
    </row>
    <row r="35" customFormat="false" ht="15" hidden="false" customHeight="true" outlineLevel="0" collapsed="false">
      <c r="A35" s="7" t="n">
        <v>5020</v>
      </c>
      <c r="B35" s="9" t="str">
        <f aca="false">INDEX(CoA!$B$6:$B$46,MATCH($A35,CoA!$A$6:$A$46,0))</f>
        <v>Inventory shrinkage and provisions</v>
      </c>
      <c r="C35" s="9" t="str">
        <f aca="false">INDEX(CoA!$C$6:$C$46,MATCH($A35,CoA!$A$6:$A$46,0))</f>
        <v>COGS</v>
      </c>
      <c r="D35" s="9" t="str">
        <f aca="false">INDEX(CoA!$D$6:$D$46,MATCH($A35,CoA!$A$6:$A$46,0))</f>
        <v>PL</v>
      </c>
      <c r="E35" s="20" t="n">
        <v>815000</v>
      </c>
      <c r="F35" s="20" t="n">
        <v>1235000</v>
      </c>
      <c r="G35" s="21" t="n">
        <f aca="false">F35-E35</f>
        <v>420000</v>
      </c>
      <c r="H35" s="20" t="n">
        <v>350000</v>
      </c>
      <c r="I35" s="20" t="n">
        <v>330000</v>
      </c>
    </row>
    <row r="36" customFormat="false" ht="15" hidden="false" customHeight="true" outlineLevel="0" collapsed="false">
      <c r="A36" s="7" t="n">
        <v>6000</v>
      </c>
      <c r="B36" s="9" t="str">
        <f aca="false">INDEX(CoA!$B$6:$B$46,MATCH($A36,CoA!$A$6:$A$46,0))</f>
        <v>Wages and salaries - stores</v>
      </c>
      <c r="C36" s="9" t="str">
        <f aca="false">INDEX(CoA!$C$6:$C$46,MATCH($A36,CoA!$A$6:$A$46,0))</f>
        <v>Expense</v>
      </c>
      <c r="D36" s="9" t="str">
        <f aca="false">INDEX(CoA!$D$6:$D$46,MATCH($A36,CoA!$A$6:$A$46,0))</f>
        <v>PL</v>
      </c>
      <c r="E36" s="20" t="n">
        <v>17266000</v>
      </c>
      <c r="F36" s="20" t="n">
        <v>26166000</v>
      </c>
      <c r="G36" s="21" t="n">
        <f aca="false">F36-E36</f>
        <v>8900000</v>
      </c>
      <c r="H36" s="20" t="n">
        <v>8700000</v>
      </c>
      <c r="I36" s="20" t="n">
        <v>8100000</v>
      </c>
    </row>
    <row r="37" customFormat="false" ht="15" hidden="false" customHeight="true" outlineLevel="0" collapsed="false">
      <c r="A37" s="7" t="n">
        <v>6010</v>
      </c>
      <c r="B37" s="9" t="str">
        <f aca="false">INDEX(CoA!$B$6:$B$46,MATCH($A37,CoA!$A$6:$A$46,0))</f>
        <v>Wages and salaries - head office</v>
      </c>
      <c r="C37" s="9" t="str">
        <f aca="false">INDEX(CoA!$C$6:$C$46,MATCH($A37,CoA!$A$6:$A$46,0))</f>
        <v>Expense</v>
      </c>
      <c r="D37" s="9" t="str">
        <f aca="false">INDEX(CoA!$D$6:$D$46,MATCH($A37,CoA!$A$6:$A$46,0))</f>
        <v>PL</v>
      </c>
      <c r="E37" s="20" t="n">
        <v>6014000</v>
      </c>
      <c r="F37" s="20" t="n">
        <v>9114000</v>
      </c>
      <c r="G37" s="21" t="n">
        <f aca="false">F37-E37</f>
        <v>3100000</v>
      </c>
      <c r="H37" s="20" t="n">
        <v>3050000</v>
      </c>
      <c r="I37" s="20" t="n">
        <v>2800000</v>
      </c>
    </row>
    <row r="38" customFormat="false" ht="15" hidden="false" customHeight="true" outlineLevel="0" collapsed="false">
      <c r="A38" s="7" t="n">
        <v>6020</v>
      </c>
      <c r="B38" s="9" t="str">
        <f aca="false">INDEX(CoA!$B$6:$B$46,MATCH($A38,CoA!$A$6:$A$46,0))</f>
        <v>Superannuation expense</v>
      </c>
      <c r="C38" s="9" t="str">
        <f aca="false">INDEX(CoA!$C$6:$C$46,MATCH($A38,CoA!$A$6:$A$46,0))</f>
        <v>Expense</v>
      </c>
      <c r="D38" s="9" t="str">
        <f aca="false">INDEX(CoA!$D$6:$D$46,MATCH($A38,CoA!$A$6:$A$46,0))</f>
        <v>PL</v>
      </c>
      <c r="E38" s="20" t="n">
        <v>2794000</v>
      </c>
      <c r="F38" s="20" t="n">
        <v>4234000</v>
      </c>
      <c r="G38" s="21" t="n">
        <f aca="false">F38-E38</f>
        <v>1440000</v>
      </c>
      <c r="H38" s="20" t="n">
        <v>1410000</v>
      </c>
      <c r="I38" s="20" t="n">
        <v>1260000</v>
      </c>
    </row>
    <row r="39" customFormat="false" ht="15" hidden="false" customHeight="true" outlineLevel="0" collapsed="false">
      <c r="A39" s="7" t="n">
        <v>6100</v>
      </c>
      <c r="B39" s="9" t="str">
        <f aca="false">INDEX(CoA!$B$6:$B$46,MATCH($A39,CoA!$A$6:$A$46,0))</f>
        <v>Rent and occupancy</v>
      </c>
      <c r="C39" s="9" t="str">
        <f aca="false">INDEX(CoA!$C$6:$C$46,MATCH($A39,CoA!$A$6:$A$46,0))</f>
        <v>Expense</v>
      </c>
      <c r="D39" s="9" t="str">
        <f aca="false">INDEX(CoA!$D$6:$D$46,MATCH($A39,CoA!$A$6:$A$46,0))</f>
        <v>PL</v>
      </c>
      <c r="E39" s="20" t="n">
        <v>8342000</v>
      </c>
      <c r="F39" s="20" t="n">
        <v>12642000</v>
      </c>
      <c r="G39" s="21" t="n">
        <f aca="false">F39-E39</f>
        <v>4300000</v>
      </c>
      <c r="H39" s="20" t="n">
        <v>4300000</v>
      </c>
      <c r="I39" s="20" t="n">
        <v>4050000</v>
      </c>
    </row>
    <row r="40" customFormat="false" ht="15" hidden="false" customHeight="true" outlineLevel="0" collapsed="false">
      <c r="A40" s="7" t="n">
        <v>6110</v>
      </c>
      <c r="B40" s="9" t="str">
        <f aca="false">INDEX(CoA!$B$6:$B$46,MATCH($A40,CoA!$A$6:$A$46,0))</f>
        <v>Marketing</v>
      </c>
      <c r="C40" s="9" t="str">
        <f aca="false">INDEX(CoA!$C$6:$C$46,MATCH($A40,CoA!$A$6:$A$46,0))</f>
        <v>Expense</v>
      </c>
      <c r="D40" s="9" t="str">
        <f aca="false">INDEX(CoA!$D$6:$D$46,MATCH($A40,CoA!$A$6:$A$46,0))</f>
        <v>PL</v>
      </c>
      <c r="E40" s="20" t="n">
        <v>6499000</v>
      </c>
      <c r="F40" s="20" t="n">
        <v>9849000</v>
      </c>
      <c r="G40" s="21" t="n">
        <f aca="false">F40-E40</f>
        <v>3350000</v>
      </c>
      <c r="H40" s="20" t="n">
        <v>3000000</v>
      </c>
      <c r="I40" s="20" t="n">
        <v>2700000</v>
      </c>
    </row>
    <row r="41" customFormat="false" ht="15" hidden="false" customHeight="true" outlineLevel="0" collapsed="false">
      <c r="A41" s="7" t="n">
        <v>6120</v>
      </c>
      <c r="B41" s="9" t="str">
        <f aca="false">INDEX(CoA!$B$6:$B$46,MATCH($A41,CoA!$A$6:$A$46,0))</f>
        <v>Depreciation</v>
      </c>
      <c r="C41" s="9" t="str">
        <f aca="false">INDEX(CoA!$C$6:$C$46,MATCH($A41,CoA!$A$6:$A$46,0))</f>
        <v>Expense</v>
      </c>
      <c r="D41" s="9" t="str">
        <f aca="false">INDEX(CoA!$D$6:$D$46,MATCH($A41,CoA!$A$6:$A$46,0))</f>
        <v>PL</v>
      </c>
      <c r="E41" s="20" t="n">
        <v>3201000</v>
      </c>
      <c r="F41" s="20" t="n">
        <v>4851000</v>
      </c>
      <c r="G41" s="21" t="n">
        <f aca="false">F41-E41</f>
        <v>1650000</v>
      </c>
      <c r="H41" s="20" t="n">
        <v>1600000</v>
      </c>
      <c r="I41" s="20" t="n">
        <v>1500000</v>
      </c>
    </row>
    <row r="42" customFormat="false" ht="15" hidden="false" customHeight="true" outlineLevel="0" collapsed="false">
      <c r="A42" s="7" t="n">
        <v>6130</v>
      </c>
      <c r="B42" s="9" t="str">
        <f aca="false">INDEX(CoA!$B$6:$B$46,MATCH($A42,CoA!$A$6:$A$46,0))</f>
        <v>IT and software</v>
      </c>
      <c r="C42" s="9" t="str">
        <f aca="false">INDEX(CoA!$C$6:$C$46,MATCH($A42,CoA!$A$6:$A$46,0))</f>
        <v>Expense</v>
      </c>
      <c r="D42" s="9" t="str">
        <f aca="false">INDEX(CoA!$D$6:$D$46,MATCH($A42,CoA!$A$6:$A$46,0))</f>
        <v>PL</v>
      </c>
      <c r="E42" s="20" t="n">
        <v>1513000</v>
      </c>
      <c r="F42" s="20" t="n">
        <v>2293000</v>
      </c>
      <c r="G42" s="21" t="n">
        <f aca="false">F42-E42</f>
        <v>780000</v>
      </c>
      <c r="H42" s="20" t="n">
        <v>720000</v>
      </c>
      <c r="I42" s="20" t="n">
        <v>650000</v>
      </c>
    </row>
    <row r="43" customFormat="false" ht="15" hidden="false" customHeight="true" outlineLevel="0" collapsed="false">
      <c r="A43" s="7" t="n">
        <v>6140</v>
      </c>
      <c r="B43" s="9" t="str">
        <f aca="false">INDEX(CoA!$B$6:$B$46,MATCH($A43,CoA!$A$6:$A$46,0))</f>
        <v>Utilities</v>
      </c>
      <c r="C43" s="9" t="str">
        <f aca="false">INDEX(CoA!$C$6:$C$46,MATCH($A43,CoA!$A$6:$A$46,0))</f>
        <v>Expense</v>
      </c>
      <c r="D43" s="9" t="str">
        <f aca="false">INDEX(CoA!$D$6:$D$46,MATCH($A43,CoA!$A$6:$A$46,0))</f>
        <v>PL</v>
      </c>
      <c r="E43" s="20" t="n">
        <v>795000</v>
      </c>
      <c r="F43" s="20" t="n">
        <v>1205000</v>
      </c>
      <c r="G43" s="21" t="n">
        <f aca="false">F43-E43</f>
        <v>410000</v>
      </c>
      <c r="H43" s="20" t="n">
        <v>400000</v>
      </c>
      <c r="I43" s="20" t="n">
        <v>380000</v>
      </c>
    </row>
    <row r="44" customFormat="false" ht="15" hidden="false" customHeight="true" outlineLevel="0" collapsed="false">
      <c r="A44" s="7" t="n">
        <v>6150</v>
      </c>
      <c r="B44" s="9" t="str">
        <f aca="false">INDEX(CoA!$B$6:$B$46,MATCH($A44,CoA!$A$6:$A$46,0))</f>
        <v>Bank and merchant fees</v>
      </c>
      <c r="C44" s="9" t="str">
        <f aca="false">INDEX(CoA!$C$6:$C$46,MATCH($A44,CoA!$A$6:$A$46,0))</f>
        <v>Expense</v>
      </c>
      <c r="D44" s="9" t="str">
        <f aca="false">INDEX(CoA!$D$6:$D$46,MATCH($A44,CoA!$A$6:$A$46,0))</f>
        <v>PL</v>
      </c>
      <c r="E44" s="20" t="n">
        <v>1339000</v>
      </c>
      <c r="F44" s="20" t="n">
        <v>2029000</v>
      </c>
      <c r="G44" s="21" t="n">
        <f aca="false">F44-E44</f>
        <v>690000</v>
      </c>
      <c r="H44" s="20" t="n">
        <v>650000</v>
      </c>
      <c r="I44" s="20" t="n">
        <v>560000</v>
      </c>
    </row>
    <row r="45" customFormat="false" ht="15" hidden="false" customHeight="true" outlineLevel="0" collapsed="false">
      <c r="A45" s="7" t="n">
        <v>6160</v>
      </c>
      <c r="B45" s="9" t="str">
        <f aca="false">INDEX(CoA!$B$6:$B$46,MATCH($A45,CoA!$A$6:$A$46,0))</f>
        <v>Other operating expenses</v>
      </c>
      <c r="C45" s="9" t="str">
        <f aca="false">INDEX(CoA!$C$6:$C$46,MATCH($A45,CoA!$A$6:$A$46,0))</f>
        <v>Expense</v>
      </c>
      <c r="D45" s="9" t="str">
        <f aca="false">INDEX(CoA!$D$6:$D$46,MATCH($A45,CoA!$A$6:$A$46,0))</f>
        <v>PL</v>
      </c>
      <c r="E45" s="20" t="n">
        <v>2037000</v>
      </c>
      <c r="F45" s="20" t="n">
        <v>3087000</v>
      </c>
      <c r="G45" s="21" t="n">
        <f aca="false">F45-E45</f>
        <v>1050000</v>
      </c>
      <c r="H45" s="20" t="n">
        <v>1000000</v>
      </c>
      <c r="I45" s="20" t="n">
        <v>920000</v>
      </c>
    </row>
    <row r="46" customFormat="false" ht="15" hidden="false" customHeight="true" outlineLevel="0" collapsed="false">
      <c r="A46" s="7" t="n">
        <v>7000</v>
      </c>
      <c r="B46" s="9" t="str">
        <f aca="false">INDEX(CoA!$B$6:$B$46,MATCH($A46,CoA!$A$6:$A$46,0))</f>
        <v>Interest expense</v>
      </c>
      <c r="C46" s="9" t="str">
        <f aca="false">INDEX(CoA!$C$6:$C$46,MATCH($A46,CoA!$A$6:$A$46,0))</f>
        <v>Expense</v>
      </c>
      <c r="D46" s="9" t="str">
        <f aca="false">INDEX(CoA!$D$6:$D$46,MATCH($A46,CoA!$A$6:$A$46,0))</f>
        <v>PL</v>
      </c>
      <c r="E46" s="20" t="n">
        <v>1242000</v>
      </c>
      <c r="F46" s="20" t="n">
        <v>1882000</v>
      </c>
      <c r="G46" s="21" t="n">
        <f aca="false">F46-E46</f>
        <v>640000</v>
      </c>
      <c r="H46" s="20" t="n">
        <v>650000</v>
      </c>
      <c r="I46" s="20" t="n">
        <v>700000</v>
      </c>
    </row>
    <row r="47" customFormat="false" ht="15" hidden="false" customHeight="true" outlineLevel="0" collapsed="false">
      <c r="B47" s="4" t="s">
        <v>178</v>
      </c>
      <c r="E47" s="22" t="n">
        <f aca="false">SUM(E6:E46)</f>
        <v>0</v>
      </c>
      <c r="F47" s="22" t="n">
        <f aca="false">SUM(F6:F46)</f>
        <v>0</v>
      </c>
      <c r="G47" s="22" t="n">
        <f aca="false">SUM(G6:G46)</f>
        <v>0</v>
      </c>
    </row>
    <row r="49" customFormat="false" ht="15" hidden="false" customHeight="true" outlineLevel="0" collapsed="false">
      <c r="A49" s="4" t="s">
        <v>179</v>
      </c>
    </row>
    <row r="50" customFormat="false" ht="15" hidden="false" customHeight="true" outlineLevel="0" collapsed="false">
      <c r="A50" s="23" t="s">
        <v>180</v>
      </c>
    </row>
    <row r="51" customFormat="false" ht="15" hidden="false" customHeight="true" outlineLevel="0" collapsed="false">
      <c r="A51" s="23" t="s">
        <v>181</v>
      </c>
    </row>
    <row r="52" customFormat="false" ht="15" hidden="false" customHeight="true" outlineLevel="0" collapsed="false">
      <c r="A52" s="23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62"/>
    <col collapsed="false" customWidth="true" hidden="false" outlineLevel="0" max="5" min="5" style="1" width="22"/>
    <col collapsed="false" customWidth="true" hidden="false" outlineLevel="0" max="6" min="6" style="1" width="18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17.25" hidden="false" customHeight="true" outlineLevel="0" collapsed="false">
      <c r="A1" s="2" t="s">
        <v>183</v>
      </c>
    </row>
    <row r="2" customFormat="false" ht="15" hidden="false" customHeight="true" outlineLevel="0" collapsed="false">
      <c r="A2" s="3" t="s">
        <v>184</v>
      </c>
    </row>
    <row r="3" customFormat="false" ht="15" hidden="false" customHeight="true" outlineLevel="0" collapsed="false">
      <c r="A3" s="4" t="s">
        <v>185</v>
      </c>
      <c r="B3" s="24" t="n">
        <f aca="false">COUNTIF(G6:G29,"Complete")/COUNTA(G6:G29)</f>
        <v>0.375</v>
      </c>
    </row>
    <row r="5" customFormat="false" ht="23.25" hidden="false" customHeight="true" outlineLevel="0" collapsed="false">
      <c r="A5" s="6" t="s">
        <v>44</v>
      </c>
      <c r="B5" s="6" t="s">
        <v>186</v>
      </c>
      <c r="C5" s="6" t="s">
        <v>187</v>
      </c>
      <c r="D5" s="6" t="s">
        <v>188</v>
      </c>
      <c r="E5" s="6" t="s">
        <v>95</v>
      </c>
      <c r="F5" s="6" t="s">
        <v>189</v>
      </c>
      <c r="G5" s="6" t="s">
        <v>190</v>
      </c>
      <c r="H5" s="6" t="s">
        <v>191</v>
      </c>
    </row>
    <row r="6" customFormat="false" ht="15" hidden="false" customHeight="true" outlineLevel="0" collapsed="false">
      <c r="A6" s="7" t="n">
        <v>1</v>
      </c>
      <c r="B6" s="25" t="n">
        <v>1</v>
      </c>
      <c r="C6" s="26" t="n">
        <f aca="false">WORKDAY(Inputs!$C$5,B6)</f>
        <v>46296</v>
      </c>
      <c r="D6" s="7" t="s">
        <v>192</v>
      </c>
      <c r="E6" s="7" t="s">
        <v>193</v>
      </c>
      <c r="F6" s="7" t="s">
        <v>194</v>
      </c>
      <c r="G6" s="7" t="s">
        <v>195</v>
      </c>
      <c r="H6" s="7" t="s">
        <v>196</v>
      </c>
    </row>
    <row r="7" customFormat="false" ht="15" hidden="false" customHeight="true" outlineLevel="0" collapsed="false">
      <c r="A7" s="7" t="n">
        <v>2</v>
      </c>
      <c r="B7" s="25" t="n">
        <v>1</v>
      </c>
      <c r="C7" s="26" t="n">
        <f aca="false">WORKDAY(Inputs!$C$5,B7)</f>
        <v>46296</v>
      </c>
      <c r="D7" s="7" t="s">
        <v>197</v>
      </c>
      <c r="E7" s="7" t="s">
        <v>101</v>
      </c>
      <c r="F7" s="7" t="s">
        <v>100</v>
      </c>
      <c r="G7" s="7" t="s">
        <v>195</v>
      </c>
      <c r="H7" s="7"/>
    </row>
    <row r="8" customFormat="false" ht="15" hidden="false" customHeight="true" outlineLevel="0" collapsed="false">
      <c r="A8" s="7" t="n">
        <v>3</v>
      </c>
      <c r="B8" s="25" t="n">
        <v>1</v>
      </c>
      <c r="C8" s="26" t="n">
        <f aca="false">WORKDAY(Inputs!$C$5,B8)</f>
        <v>46296</v>
      </c>
      <c r="D8" s="7" t="s">
        <v>198</v>
      </c>
      <c r="E8" s="7" t="s">
        <v>114</v>
      </c>
      <c r="F8" s="7" t="s">
        <v>28</v>
      </c>
      <c r="G8" s="7" t="s">
        <v>195</v>
      </c>
      <c r="H8" s="7" t="s">
        <v>199</v>
      </c>
    </row>
    <row r="9" customFormat="false" ht="15" hidden="false" customHeight="true" outlineLevel="0" collapsed="false">
      <c r="A9" s="7" t="n">
        <v>4</v>
      </c>
      <c r="B9" s="25" t="n">
        <v>2</v>
      </c>
      <c r="C9" s="26" t="n">
        <f aca="false">WORKDAY(Inputs!$C$5,B9)</f>
        <v>46297</v>
      </c>
      <c r="D9" s="7" t="s">
        <v>200</v>
      </c>
      <c r="E9" s="7" t="s">
        <v>129</v>
      </c>
      <c r="F9" s="7" t="s">
        <v>128</v>
      </c>
      <c r="G9" s="7" t="s">
        <v>195</v>
      </c>
      <c r="H9" s="7"/>
    </row>
    <row r="10" customFormat="false" ht="15" hidden="false" customHeight="true" outlineLevel="0" collapsed="false">
      <c r="A10" s="7" t="n">
        <v>5</v>
      </c>
      <c r="B10" s="25" t="n">
        <v>2</v>
      </c>
      <c r="C10" s="26" t="n">
        <f aca="false">WORKDAY(Inputs!$C$5,B10)</f>
        <v>46297</v>
      </c>
      <c r="D10" s="7" t="s">
        <v>201</v>
      </c>
      <c r="E10" s="7" t="s">
        <v>114</v>
      </c>
      <c r="F10" s="7" t="s">
        <v>125</v>
      </c>
      <c r="G10" s="7" t="s">
        <v>195</v>
      </c>
      <c r="H10" s="7"/>
    </row>
    <row r="11" customFormat="false" ht="15" hidden="false" customHeight="true" outlineLevel="0" collapsed="false">
      <c r="A11" s="7" t="n">
        <v>6</v>
      </c>
      <c r="B11" s="25" t="n">
        <v>2</v>
      </c>
      <c r="C11" s="26" t="n">
        <f aca="false">WORKDAY(Inputs!$C$5,B11)</f>
        <v>46297</v>
      </c>
      <c r="D11" s="7" t="s">
        <v>202</v>
      </c>
      <c r="E11" s="7" t="s">
        <v>114</v>
      </c>
      <c r="F11" s="7" t="s">
        <v>113</v>
      </c>
      <c r="G11" s="7" t="s">
        <v>195</v>
      </c>
      <c r="H11" s="7"/>
    </row>
    <row r="12" customFormat="false" ht="15" hidden="false" customHeight="true" outlineLevel="0" collapsed="false">
      <c r="A12" s="7" t="n">
        <v>7</v>
      </c>
      <c r="B12" s="25" t="n">
        <v>2</v>
      </c>
      <c r="C12" s="26" t="n">
        <f aca="false">WORKDAY(Inputs!$C$5,B12)</f>
        <v>46297</v>
      </c>
      <c r="D12" s="7" t="s">
        <v>203</v>
      </c>
      <c r="E12" s="7" t="s">
        <v>101</v>
      </c>
      <c r="F12" s="7" t="s">
        <v>100</v>
      </c>
      <c r="G12" s="7" t="s">
        <v>195</v>
      </c>
      <c r="H12" s="7"/>
    </row>
    <row r="13" customFormat="false" ht="15" hidden="false" customHeight="true" outlineLevel="0" collapsed="false">
      <c r="A13" s="7" t="n">
        <v>8</v>
      </c>
      <c r="B13" s="25" t="n">
        <v>3</v>
      </c>
      <c r="C13" s="26" t="n">
        <f aca="false">WORKDAY(Inputs!$C$5,B13)</f>
        <v>46300</v>
      </c>
      <c r="D13" s="7" t="s">
        <v>204</v>
      </c>
      <c r="E13" s="7" t="s">
        <v>123</v>
      </c>
      <c r="F13" s="7" t="s">
        <v>122</v>
      </c>
      <c r="G13" s="7" t="s">
        <v>195</v>
      </c>
      <c r="H13" s="7"/>
    </row>
    <row r="14" customFormat="false" ht="15" hidden="false" customHeight="true" outlineLevel="0" collapsed="false">
      <c r="A14" s="7" t="n">
        <v>9</v>
      </c>
      <c r="B14" s="25" t="n">
        <v>3</v>
      </c>
      <c r="C14" s="26" t="n">
        <f aca="false">WORKDAY(Inputs!$C$5,B14)</f>
        <v>46300</v>
      </c>
      <c r="D14" s="7" t="s">
        <v>205</v>
      </c>
      <c r="E14" s="7" t="s">
        <v>106</v>
      </c>
      <c r="F14" s="7" t="s">
        <v>105</v>
      </c>
      <c r="G14" s="7" t="s">
        <v>195</v>
      </c>
      <c r="H14" s="7"/>
    </row>
    <row r="15" customFormat="false" ht="15" hidden="false" customHeight="true" outlineLevel="0" collapsed="false">
      <c r="A15" s="7" t="n">
        <v>10</v>
      </c>
      <c r="B15" s="25" t="n">
        <v>3</v>
      </c>
      <c r="C15" s="26" t="n">
        <f aca="false">WORKDAY(Inputs!$C$5,B15)</f>
        <v>46300</v>
      </c>
      <c r="D15" s="7" t="s">
        <v>206</v>
      </c>
      <c r="E15" s="7" t="s">
        <v>110</v>
      </c>
      <c r="F15" s="7" t="s">
        <v>109</v>
      </c>
      <c r="G15" s="7" t="s">
        <v>207</v>
      </c>
      <c r="H15" s="7" t="s">
        <v>208</v>
      </c>
    </row>
    <row r="16" customFormat="false" ht="15" hidden="false" customHeight="true" outlineLevel="0" collapsed="false">
      <c r="A16" s="7" t="n">
        <v>11</v>
      </c>
      <c r="B16" s="25" t="n">
        <v>3</v>
      </c>
      <c r="C16" s="26" t="n">
        <f aca="false">WORKDAY(Inputs!$C$5,B16)</f>
        <v>46300</v>
      </c>
      <c r="D16" s="7" t="s">
        <v>209</v>
      </c>
      <c r="E16" s="7" t="s">
        <v>106</v>
      </c>
      <c r="F16" s="7" t="s">
        <v>194</v>
      </c>
      <c r="G16" s="7" t="s">
        <v>207</v>
      </c>
      <c r="H16" s="7"/>
    </row>
    <row r="17" customFormat="false" ht="15" hidden="false" customHeight="true" outlineLevel="0" collapsed="false">
      <c r="A17" s="7" t="n">
        <v>12</v>
      </c>
      <c r="B17" s="25" t="n">
        <v>4</v>
      </c>
      <c r="C17" s="26" t="n">
        <f aca="false">WORKDAY(Inputs!$C$5,B17)</f>
        <v>46301</v>
      </c>
      <c r="D17" s="7" t="s">
        <v>210</v>
      </c>
      <c r="E17" s="7" t="s">
        <v>114</v>
      </c>
      <c r="F17" s="7" t="s">
        <v>134</v>
      </c>
      <c r="G17" s="7" t="s">
        <v>207</v>
      </c>
      <c r="H17" s="7"/>
    </row>
    <row r="18" customFormat="false" ht="15" hidden="false" customHeight="true" outlineLevel="0" collapsed="false">
      <c r="A18" s="7" t="n">
        <v>13</v>
      </c>
      <c r="B18" s="25" t="n">
        <v>4</v>
      </c>
      <c r="C18" s="26" t="n">
        <f aca="false">WORKDAY(Inputs!$C$5,B18)</f>
        <v>46301</v>
      </c>
      <c r="D18" s="7" t="s">
        <v>211</v>
      </c>
      <c r="E18" s="7" t="s">
        <v>129</v>
      </c>
      <c r="F18" s="7" t="s">
        <v>128</v>
      </c>
      <c r="G18" s="7" t="s">
        <v>207</v>
      </c>
      <c r="H18" s="7"/>
    </row>
    <row r="19" customFormat="false" ht="15" hidden="false" customHeight="true" outlineLevel="0" collapsed="false">
      <c r="A19" s="7" t="n">
        <v>14</v>
      </c>
      <c r="B19" s="25" t="n">
        <v>4</v>
      </c>
      <c r="C19" s="26" t="n">
        <f aca="false">WORKDAY(Inputs!$C$5,B19)</f>
        <v>46301</v>
      </c>
      <c r="D19" s="7" t="s">
        <v>212</v>
      </c>
      <c r="E19" s="7" t="s">
        <v>114</v>
      </c>
      <c r="F19" s="7" t="s">
        <v>125</v>
      </c>
      <c r="G19" s="7" t="s">
        <v>207</v>
      </c>
      <c r="H19" s="7"/>
    </row>
    <row r="20" customFormat="false" ht="15" hidden="false" customHeight="true" outlineLevel="0" collapsed="false">
      <c r="A20" s="7" t="n">
        <v>15</v>
      </c>
      <c r="B20" s="25" t="n">
        <v>4</v>
      </c>
      <c r="C20" s="26" t="n">
        <f aca="false">WORKDAY(Inputs!$C$5,B20)</f>
        <v>46301</v>
      </c>
      <c r="D20" s="7" t="s">
        <v>213</v>
      </c>
      <c r="E20" s="7" t="s">
        <v>114</v>
      </c>
      <c r="F20" s="7" t="s">
        <v>18</v>
      </c>
      <c r="G20" s="7" t="s">
        <v>214</v>
      </c>
      <c r="H20" s="7"/>
    </row>
    <row r="21" customFormat="false" ht="15" hidden="false" customHeight="true" outlineLevel="0" collapsed="false">
      <c r="A21" s="7" t="n">
        <v>16</v>
      </c>
      <c r="B21" s="25" t="n">
        <v>5</v>
      </c>
      <c r="C21" s="26" t="n">
        <f aca="false">WORKDAY(Inputs!$C$5,B21)</f>
        <v>46302</v>
      </c>
      <c r="D21" s="7" t="s">
        <v>215</v>
      </c>
      <c r="E21" s="7" t="s">
        <v>114</v>
      </c>
      <c r="F21" s="7" t="s">
        <v>8</v>
      </c>
      <c r="G21" s="7" t="s">
        <v>214</v>
      </c>
      <c r="H21" s="7"/>
    </row>
    <row r="22" customFormat="false" ht="15" hidden="false" customHeight="true" outlineLevel="0" collapsed="false">
      <c r="A22" s="7" t="n">
        <v>17</v>
      </c>
      <c r="B22" s="25" t="n">
        <v>5</v>
      </c>
      <c r="C22" s="26" t="n">
        <f aca="false">WORKDAY(Inputs!$C$5,B22)</f>
        <v>46302</v>
      </c>
      <c r="D22" s="7" t="s">
        <v>216</v>
      </c>
      <c r="E22" s="7" t="s">
        <v>114</v>
      </c>
      <c r="F22" s="7" t="s">
        <v>22</v>
      </c>
      <c r="G22" s="7" t="s">
        <v>214</v>
      </c>
      <c r="H22" s="7"/>
    </row>
    <row r="23" customFormat="false" ht="15" hidden="false" customHeight="true" outlineLevel="0" collapsed="false">
      <c r="A23" s="7" t="n">
        <v>18</v>
      </c>
      <c r="B23" s="25" t="n">
        <v>5</v>
      </c>
      <c r="C23" s="26" t="n">
        <f aca="false">WORKDAY(Inputs!$C$5,B23)</f>
        <v>46302</v>
      </c>
      <c r="D23" s="7" t="s">
        <v>217</v>
      </c>
      <c r="E23" s="7" t="s">
        <v>114</v>
      </c>
      <c r="F23" s="7" t="s">
        <v>28</v>
      </c>
      <c r="G23" s="7" t="s">
        <v>214</v>
      </c>
      <c r="H23" s="7"/>
    </row>
    <row r="24" customFormat="false" ht="15" hidden="false" customHeight="true" outlineLevel="0" collapsed="false">
      <c r="A24" s="7" t="n">
        <v>19</v>
      </c>
      <c r="B24" s="25" t="n">
        <v>6</v>
      </c>
      <c r="C24" s="26" t="n">
        <f aca="false">WORKDAY(Inputs!$C$5,B24)</f>
        <v>46303</v>
      </c>
      <c r="D24" s="7" t="s">
        <v>218</v>
      </c>
      <c r="E24" s="7" t="s">
        <v>140</v>
      </c>
      <c r="F24" s="7" t="s">
        <v>18</v>
      </c>
      <c r="G24" s="7" t="s">
        <v>214</v>
      </c>
      <c r="H24" s="7"/>
    </row>
    <row r="25" customFormat="false" ht="15" hidden="false" customHeight="true" outlineLevel="0" collapsed="false">
      <c r="A25" s="7" t="n">
        <v>20</v>
      </c>
      <c r="B25" s="25" t="n">
        <v>6</v>
      </c>
      <c r="C25" s="26" t="n">
        <f aca="false">WORKDAY(Inputs!$C$5,B25)</f>
        <v>46303</v>
      </c>
      <c r="D25" s="7" t="s">
        <v>219</v>
      </c>
      <c r="E25" s="7" t="s">
        <v>140</v>
      </c>
      <c r="F25" s="7" t="s">
        <v>22</v>
      </c>
      <c r="G25" s="7" t="s">
        <v>214</v>
      </c>
      <c r="H25" s="7"/>
    </row>
    <row r="26" customFormat="false" ht="15" hidden="false" customHeight="true" outlineLevel="0" collapsed="false">
      <c r="A26" s="7" t="n">
        <v>21</v>
      </c>
      <c r="B26" s="25" t="n">
        <v>7</v>
      </c>
      <c r="C26" s="26" t="n">
        <f aca="false">WORKDAY(Inputs!$C$5,B26)</f>
        <v>46304</v>
      </c>
      <c r="D26" s="7" t="s">
        <v>220</v>
      </c>
      <c r="E26" s="7" t="s">
        <v>140</v>
      </c>
      <c r="F26" s="7" t="s">
        <v>194</v>
      </c>
      <c r="G26" s="7" t="s">
        <v>214</v>
      </c>
      <c r="H26" s="7"/>
    </row>
    <row r="27" customFormat="false" ht="15" hidden="false" customHeight="true" outlineLevel="0" collapsed="false">
      <c r="A27" s="7" t="n">
        <v>22</v>
      </c>
      <c r="B27" s="25" t="n">
        <v>7</v>
      </c>
      <c r="C27" s="26" t="n">
        <f aca="false">WORKDAY(Inputs!$C$5,B27)</f>
        <v>46304</v>
      </c>
      <c r="D27" s="7" t="s">
        <v>221</v>
      </c>
      <c r="E27" s="7" t="s">
        <v>114</v>
      </c>
      <c r="F27" s="7" t="s">
        <v>24</v>
      </c>
      <c r="G27" s="7" t="s">
        <v>214</v>
      </c>
      <c r="H27" s="7"/>
    </row>
    <row r="28" customFormat="false" ht="15" hidden="false" customHeight="true" outlineLevel="0" collapsed="false">
      <c r="A28" s="7" t="n">
        <v>23</v>
      </c>
      <c r="B28" s="25" t="n">
        <v>8</v>
      </c>
      <c r="C28" s="26" t="n">
        <f aca="false">WORKDAY(Inputs!$C$5,B28)</f>
        <v>46307</v>
      </c>
      <c r="D28" s="7" t="s">
        <v>222</v>
      </c>
      <c r="E28" s="7" t="s">
        <v>114</v>
      </c>
      <c r="F28" s="7" t="s">
        <v>223</v>
      </c>
      <c r="G28" s="7" t="s">
        <v>214</v>
      </c>
      <c r="H28" s="7"/>
    </row>
    <row r="29" customFormat="false" ht="15" hidden="false" customHeight="true" outlineLevel="0" collapsed="false">
      <c r="A29" s="7" t="n">
        <v>24</v>
      </c>
      <c r="B29" s="25" t="n">
        <v>8</v>
      </c>
      <c r="C29" s="26" t="n">
        <f aca="false">WORKDAY(Inputs!$C$5,B29)</f>
        <v>46307</v>
      </c>
      <c r="D29" s="7" t="s">
        <v>224</v>
      </c>
      <c r="E29" s="7" t="s">
        <v>114</v>
      </c>
      <c r="F29" s="7" t="s">
        <v>225</v>
      </c>
      <c r="G29" s="7" t="s">
        <v>214</v>
      </c>
      <c r="H29" s="7"/>
    </row>
  </sheetData>
  <conditionalFormatting sqref="G6:G29">
    <cfRule type="cellIs" priority="2" operator="equal" aboveAverage="0" equalAverage="0" bottom="0" percent="0" rank="0" text="" dxfId="3">
      <formula>"Complete"</formula>
    </cfRule>
    <cfRule type="cellIs" priority="3" operator="equal" aboveAverage="0" equalAverage="0" bottom="0" percent="0" rank="0" text="" dxfId="4">
      <formula>"In progress"</formula>
    </cfRule>
  </conditionalFormatting>
  <dataValidations count="1">
    <dataValidation allowBlank="false" errorStyle="stop" operator="between" showDropDown="false" showErrorMessage="false" showInputMessage="false" sqref="G6:G29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4"/>
    <col collapsed="false" customWidth="true" hidden="false" outlineLevel="0" max="5" min="3" style="1" width="17"/>
    <col collapsed="false" customWidth="true" hidden="false" outlineLevel="0" max="6" min="6" style="1" width="14"/>
    <col collapsed="false" customWidth="true" hidden="false" outlineLevel="0" max="8" min="7" style="1" width="16"/>
    <col collapsed="false" customWidth="true" hidden="false" outlineLevel="0" max="9" min="9" style="1" width="12"/>
  </cols>
  <sheetData>
    <row r="1" customFormat="false" ht="17.25" hidden="false" customHeight="true" outlineLevel="0" collapsed="false">
      <c r="A1" s="2" t="s">
        <v>226</v>
      </c>
    </row>
    <row r="2" customFormat="false" ht="15" hidden="false" customHeight="true" outlineLevel="0" collapsed="false">
      <c r="A2" s="3" t="s">
        <v>227</v>
      </c>
    </row>
    <row r="3" customFormat="false" ht="15" hidden="false" customHeight="true" outlineLevel="0" collapsed="false">
      <c r="A3" s="8" t="s">
        <v>43</v>
      </c>
      <c r="B3" s="11" t="n">
        <f aca="false">Inputs!$C$5</f>
        <v>46295</v>
      </c>
    </row>
    <row r="5" customFormat="false" ht="23.25" hidden="false" customHeight="true" outlineLevel="0" collapsed="false">
      <c r="A5" s="6" t="s">
        <v>6</v>
      </c>
      <c r="B5" s="6" t="s">
        <v>228</v>
      </c>
      <c r="C5" s="6" t="s">
        <v>229</v>
      </c>
      <c r="D5" s="6" t="s">
        <v>230</v>
      </c>
      <c r="E5" s="6" t="s">
        <v>231</v>
      </c>
      <c r="F5" s="6" t="s">
        <v>232</v>
      </c>
      <c r="G5" s="6" t="s">
        <v>190</v>
      </c>
      <c r="H5" s="6" t="s">
        <v>233</v>
      </c>
      <c r="I5" s="6" t="s">
        <v>234</v>
      </c>
    </row>
    <row r="6" customFormat="false" ht="15" hidden="false" customHeight="true" outlineLevel="0" collapsed="false">
      <c r="A6" s="4" t="s">
        <v>100</v>
      </c>
      <c r="B6" s="8" t="s">
        <v>235</v>
      </c>
      <c r="C6" s="12" t="n">
        <f aca="false">Rec_Bank!D10</f>
        <v>7190000</v>
      </c>
      <c r="D6" s="12" t="n">
        <f aca="false">Rec_Bank!D12</f>
        <v>7151590</v>
      </c>
      <c r="E6" s="12" t="n">
        <f aca="false">Rec_Bank!D16</f>
        <v>7151590</v>
      </c>
      <c r="F6" s="12" t="n">
        <f aca="false">Rec_Bank!D18</f>
        <v>0</v>
      </c>
      <c r="G6" s="27" t="str">
        <f aca="false">Rec_Bank!E18</f>
        <v>RECONCILED</v>
      </c>
      <c r="H6" s="12" t="n">
        <f aca="false">Rec_Bank!D11</f>
        <v>-38410</v>
      </c>
      <c r="I6" s="28" t="n">
        <f aca="false">Rec_Bank!D19</f>
        <v>1</v>
      </c>
    </row>
    <row r="7" customFormat="false" ht="15" hidden="false" customHeight="true" outlineLevel="0" collapsed="false">
      <c r="A7" s="4" t="s">
        <v>105</v>
      </c>
      <c r="B7" s="8" t="s">
        <v>104</v>
      </c>
      <c r="C7" s="12" t="n">
        <f aca="false">Rec_AR!D10</f>
        <v>3150000</v>
      </c>
      <c r="D7" s="12" t="n">
        <f aca="false">Rec_AR!D12</f>
        <v>3137400</v>
      </c>
      <c r="E7" s="12" t="n">
        <f aca="false">Rec_AR!D16</f>
        <v>3137400</v>
      </c>
      <c r="F7" s="12" t="n">
        <f aca="false">Rec_AR!D18</f>
        <v>0</v>
      </c>
      <c r="G7" s="27" t="str">
        <f aca="false">Rec_AR!E18</f>
        <v>RECONCILED</v>
      </c>
      <c r="H7" s="12" t="n">
        <f aca="false">Rec_AR!D11</f>
        <v>-12600</v>
      </c>
      <c r="I7" s="28" t="n">
        <f aca="false">Rec_AR!D19</f>
        <v>0</v>
      </c>
    </row>
    <row r="8" customFormat="false" ht="15" hidden="false" customHeight="true" outlineLevel="0" collapsed="false">
      <c r="A8" s="4" t="s">
        <v>122</v>
      </c>
      <c r="B8" s="8" t="s">
        <v>120</v>
      </c>
      <c r="C8" s="12" t="n">
        <f aca="false">Rec_AP!D10</f>
        <v>27800000</v>
      </c>
      <c r="D8" s="12" t="n">
        <f aca="false">Rec_AP!D12</f>
        <v>27831280</v>
      </c>
      <c r="E8" s="12" t="n">
        <f aca="false">Rec_AP!D16</f>
        <v>27831280</v>
      </c>
      <c r="F8" s="12" t="n">
        <f aca="false">Rec_AP!D18</f>
        <v>0</v>
      </c>
      <c r="G8" s="27" t="str">
        <f aca="false">Rec_AP!E18</f>
        <v>RECONCILED</v>
      </c>
      <c r="H8" s="12" t="n">
        <f aca="false">Rec_AP!D11</f>
        <v>31280</v>
      </c>
      <c r="I8" s="28" t="n">
        <f aca="false">Rec_AP!D19</f>
        <v>0</v>
      </c>
    </row>
    <row r="9" customFormat="false" ht="15" hidden="false" customHeight="true" outlineLevel="0" collapsed="false">
      <c r="A9" s="4" t="s">
        <v>109</v>
      </c>
      <c r="B9" s="8" t="s">
        <v>236</v>
      </c>
      <c r="C9" s="12" t="n">
        <f aca="false">Rec_Inventory!D10</f>
        <v>104700000</v>
      </c>
      <c r="D9" s="12" t="n">
        <f aca="false">Rec_Inventory!D12</f>
        <v>104435000</v>
      </c>
      <c r="E9" s="12" t="n">
        <f aca="false">Rec_Inventory!D16</f>
        <v>104435000</v>
      </c>
      <c r="F9" s="12" t="n">
        <f aca="false">Rec_Inventory!D18</f>
        <v>0</v>
      </c>
      <c r="G9" s="27" t="str">
        <f aca="false">Rec_Inventory!E18</f>
        <v>RECONCILED</v>
      </c>
      <c r="H9" s="12" t="n">
        <f aca="false">Rec_Inventory!D11</f>
        <v>-265000</v>
      </c>
      <c r="I9" s="28" t="n">
        <f aca="false">Rec_Inventory!D19</f>
        <v>0</v>
      </c>
    </row>
    <row r="10" customFormat="false" ht="15" hidden="false" customHeight="true" outlineLevel="0" collapsed="false">
      <c r="A10" s="4" t="s">
        <v>125</v>
      </c>
      <c r="B10" s="8" t="s">
        <v>237</v>
      </c>
      <c r="C10" s="12" t="n">
        <f aca="false">Rec_Accruals!D10</f>
        <v>11200000</v>
      </c>
      <c r="D10" s="12" t="n">
        <f aca="false">Rec_Accruals!D12</f>
        <v>10982000</v>
      </c>
      <c r="E10" s="12" t="n">
        <f aca="false">Rec_Accruals!D16</f>
        <v>10982000</v>
      </c>
      <c r="F10" s="12" t="n">
        <f aca="false">Rec_Accruals!D18</f>
        <v>0</v>
      </c>
      <c r="G10" s="27" t="str">
        <f aca="false">Rec_Accruals!E18</f>
        <v>RECONCILED</v>
      </c>
      <c r="H10" s="12" t="n">
        <f aca="false">Rec_Accruals!D11</f>
        <v>-218000</v>
      </c>
      <c r="I10" s="28" t="n">
        <f aca="false">Rec_Accruals!D19</f>
        <v>0</v>
      </c>
    </row>
    <row r="11" customFormat="false" ht="15" hidden="false" customHeight="true" outlineLevel="0" collapsed="false">
      <c r="A11" s="4" t="s">
        <v>113</v>
      </c>
      <c r="B11" s="8" t="s">
        <v>112</v>
      </c>
      <c r="C11" s="12" t="n">
        <f aca="false">Rec_Prepayments!D10</f>
        <v>5400000</v>
      </c>
      <c r="D11" s="12" t="n">
        <f aca="false">Rec_Prepayments!D12</f>
        <v>5358250</v>
      </c>
      <c r="E11" s="12" t="n">
        <f aca="false">Rec_Prepayments!D16</f>
        <v>5358250</v>
      </c>
      <c r="F11" s="12" t="n">
        <f aca="false">Rec_Prepayments!D18</f>
        <v>0</v>
      </c>
      <c r="G11" s="27" t="str">
        <f aca="false">Rec_Prepayments!E18</f>
        <v>RECONCILED</v>
      </c>
      <c r="H11" s="12" t="n">
        <f aca="false">Rec_Prepayments!D11</f>
        <v>-41750</v>
      </c>
      <c r="I11" s="28" t="n">
        <f aca="false">Rec_Prepayments!D19</f>
        <v>0</v>
      </c>
    </row>
    <row r="12" customFormat="false" ht="15" hidden="false" customHeight="true" outlineLevel="0" collapsed="false">
      <c r="A12" s="4" t="s">
        <v>134</v>
      </c>
      <c r="B12" s="8" t="s">
        <v>238</v>
      </c>
      <c r="C12" s="12" t="n">
        <f aca="false">Rec_GST!D10</f>
        <v>2665000</v>
      </c>
      <c r="D12" s="12" t="n">
        <f aca="false">Rec_GST!D12</f>
        <v>2656580</v>
      </c>
      <c r="E12" s="12" t="n">
        <f aca="false">Rec_GST!D16</f>
        <v>2656580</v>
      </c>
      <c r="F12" s="12" t="n">
        <f aca="false">Rec_GST!D18</f>
        <v>0</v>
      </c>
      <c r="G12" s="27" t="str">
        <f aca="false">Rec_GST!E18</f>
        <v>RECONCILED</v>
      </c>
      <c r="H12" s="12" t="n">
        <f aca="false">Rec_GST!D11</f>
        <v>-8420</v>
      </c>
      <c r="I12" s="28" t="n">
        <f aca="false">Rec_GST!D19</f>
        <v>0</v>
      </c>
    </row>
    <row r="13" customFormat="false" ht="15" hidden="false" customHeight="true" outlineLevel="0" collapsed="false">
      <c r="A13" s="4" t="s">
        <v>128</v>
      </c>
      <c r="B13" s="8" t="s">
        <v>239</v>
      </c>
      <c r="C13" s="12" t="n">
        <f aca="false">Rec_Payroll!D10</f>
        <v>4595000</v>
      </c>
      <c r="D13" s="12" t="n">
        <f aca="false">Rec_Payroll!D12</f>
        <v>4499000</v>
      </c>
      <c r="E13" s="12" t="n">
        <f aca="false">Rec_Payroll!D16</f>
        <v>4499000</v>
      </c>
      <c r="F13" s="12" t="n">
        <f aca="false">Rec_Payroll!D18</f>
        <v>0</v>
      </c>
      <c r="G13" s="27" t="str">
        <f aca="false">Rec_Payroll!E18</f>
        <v>RECONCILED</v>
      </c>
      <c r="H13" s="12" t="n">
        <f aca="false">Rec_Payroll!D11</f>
        <v>-96000</v>
      </c>
      <c r="I13" s="28" t="n">
        <f aca="false">Rec_Payroll!D19</f>
        <v>0</v>
      </c>
    </row>
    <row r="14" customFormat="false" ht="15" hidden="false" customHeight="true" outlineLevel="0" collapsed="false">
      <c r="B14" s="4" t="s">
        <v>240</v>
      </c>
      <c r="F14" s="22" t="n">
        <f aca="false">SUM(F6:F13)</f>
        <v>0</v>
      </c>
      <c r="H14" s="22" t="n">
        <f aca="false">SUM(H6:H13)</f>
        <v>-648900</v>
      </c>
      <c r="I14" s="29" t="n">
        <f aca="false">SUM(I6:I13)</f>
        <v>1</v>
      </c>
    </row>
    <row r="16" customFormat="false" ht="15" hidden="false" customHeight="true" outlineLevel="0" collapsed="false">
      <c r="A16" s="3" t="s">
        <v>241</v>
      </c>
    </row>
  </sheetData>
  <conditionalFormatting sqref="G6:G13">
    <cfRule type="expression" priority="2" aboveAverage="0" equalAverage="0" bottom="0" percent="0" rank="0" text="" dxfId="0">
      <formula>G6="RECONCILED"</formula>
    </cfRule>
    <cfRule type="expression" priority="3" aboveAverage="0" equalAverage="0" bottom="0" percent="0" rank="0" text="" dxfId="1">
      <formula>G6="INVESTIGATE"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242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243</v>
      </c>
      <c r="B4" s="11" t="n">
        <f aca="false">Inputs!$C$5</f>
        <v>46295</v>
      </c>
    </row>
    <row r="5" customFormat="false" ht="15" hidden="false" customHeight="true" outlineLevel="0" collapsed="false">
      <c r="A5" s="4" t="s">
        <v>244</v>
      </c>
      <c r="B5" s="31" t="n">
        <v>1000</v>
      </c>
      <c r="C5" s="9" t="str">
        <f aca="false">INDEX(CoA!$B$6:$B$46,MATCH($B5,CoA!$A$6:$A$46,0))</f>
        <v>Cash at bank - operating</v>
      </c>
    </row>
    <row r="6" customFormat="false" ht="15" hidden="false" customHeight="true" outlineLevel="0" collapsed="false">
      <c r="A6" s="4" t="s">
        <v>245</v>
      </c>
    </row>
    <row r="7" customFormat="false" ht="15" hidden="false" customHeight="true" outlineLevel="0" collapsed="false">
      <c r="A7" s="4" t="s">
        <v>246</v>
      </c>
    </row>
    <row r="8" customFormat="false" ht="15" hidden="false" customHeight="true" outlineLevel="0" collapsed="false">
      <c r="A8" s="4" t="s">
        <v>247</v>
      </c>
      <c r="B8" s="31" t="n">
        <v>1</v>
      </c>
    </row>
    <row r="10" customFormat="false" ht="15" hidden="false" customHeight="true" outlineLevel="0" collapsed="false">
      <c r="A10" s="4" t="s">
        <v>248</v>
      </c>
      <c r="D10" s="12" t="n">
        <f aca="false">$B$8*(IF($B$5="",0,SUMIF(TB!$A$6:$A$46,$B$5,TB!$F$6:$F$46))+IF($B$6="",0,SUMIF(TB!$A$6:$A$46,$B$6,TB!$F$6:$F$46))+IF($B$7="",0,SUMIF(TB!$A$6:$A$46,$B$7,TB!$F$6:$F$46)))</f>
        <v>7190000</v>
      </c>
    </row>
    <row r="11" customFormat="false" ht="15" hidden="false" customHeight="true" outlineLevel="0" collapsed="false">
      <c r="A11" s="8" t="s">
        <v>249</v>
      </c>
      <c r="D11" s="21" t="n">
        <f aca="false">SUMIF($E$22:$E$41,"GL adjustment",$D$22:$D$41)</f>
        <v>-38410</v>
      </c>
    </row>
    <row r="12" customFormat="false" ht="15" hidden="false" customHeight="true" outlineLevel="0" collapsed="false">
      <c r="A12" s="4" t="s">
        <v>250</v>
      </c>
      <c r="D12" s="22" t="n">
        <f aca="false">D10+D11</f>
        <v>7151590</v>
      </c>
    </row>
    <row r="14" customFormat="false" ht="15" hidden="false" customHeight="true" outlineLevel="0" collapsed="false">
      <c r="A14" s="4" t="s">
        <v>251</v>
      </c>
      <c r="B14" s="7" t="s">
        <v>252</v>
      </c>
      <c r="D14" s="20" t="n">
        <v>6638170</v>
      </c>
    </row>
    <row r="15" customFormat="false" ht="15" hidden="false" customHeight="true" outlineLevel="0" collapsed="false">
      <c r="A15" s="8" t="s">
        <v>253</v>
      </c>
      <c r="D15" s="21" t="n">
        <f aca="false">SUMIF($E$22:$E$41,"Timing",$D$22:$D$41)</f>
        <v>513420</v>
      </c>
    </row>
    <row r="16" customFormat="false" ht="15" hidden="false" customHeight="true" outlineLevel="0" collapsed="false">
      <c r="A16" s="4" t="s">
        <v>254</v>
      </c>
      <c r="D16" s="22" t="n">
        <f aca="false">D14+D15</f>
        <v>7151590</v>
      </c>
    </row>
    <row r="18" customFormat="false" ht="15" hidden="false" customHeight="true" outlineLevel="0" collapsed="false">
      <c r="A18" s="4" t="s">
        <v>255</v>
      </c>
      <c r="D18" s="32" t="n">
        <f aca="false">ROUND(D12-D16,2)</f>
        <v>0</v>
      </c>
      <c r="E18" s="27" t="str">
        <f aca="false">IF(ABS(D18)&lt;=Inputs!$C$12,"RECONCILED","INVESTIGATE")</f>
        <v>RECONCILED</v>
      </c>
    </row>
    <row r="19" customFormat="false" ht="15" hidden="false" customHeight="true" outlineLevel="0" collapsed="false">
      <c r="A19" s="8" t="s">
        <v>256</v>
      </c>
      <c r="D19" s="33" t="n">
        <f aca="false">COUNTIF($G$22:$G$41,"Aged")</f>
        <v>1</v>
      </c>
    </row>
    <row r="21" customFormat="false" ht="15" hidden="false" customHeight="true" outlineLevel="0" collapsed="false">
      <c r="A21" s="6" t="s">
        <v>257</v>
      </c>
      <c r="B21" s="6" t="s">
        <v>258</v>
      </c>
      <c r="C21" s="6" t="s">
        <v>259</v>
      </c>
      <c r="D21" s="6" t="s">
        <v>260</v>
      </c>
      <c r="E21" s="6" t="s">
        <v>91</v>
      </c>
      <c r="F21" s="6" t="s">
        <v>261</v>
      </c>
      <c r="G21" s="6" t="s">
        <v>262</v>
      </c>
      <c r="H21" s="6" t="s">
        <v>263</v>
      </c>
      <c r="I21" s="6" t="s">
        <v>264</v>
      </c>
    </row>
    <row r="22" customFormat="false" ht="15" hidden="false" customHeight="true" outlineLevel="0" collapsed="false">
      <c r="A22" s="7" t="s">
        <v>265</v>
      </c>
      <c r="B22" s="7" t="s">
        <v>266</v>
      </c>
      <c r="C22" s="19" t="n">
        <v>46295</v>
      </c>
      <c r="D22" s="20" t="n">
        <v>-38410</v>
      </c>
      <c r="E22" s="7" t="s">
        <v>267</v>
      </c>
      <c r="F22" s="33" t="n">
        <f aca="false">IF($C22="","",$B$4-$C22)</f>
        <v>0</v>
      </c>
      <c r="G22" s="9" t="str">
        <f aca="false">IF($F22="","",IF($F22&gt;Inputs!$C$9,"Aged",""))</f>
        <v/>
      </c>
      <c r="H22" s="7" t="s">
        <v>268</v>
      </c>
      <c r="I22" s="19" t="n">
        <v>46297</v>
      </c>
    </row>
    <row r="23" customFormat="false" ht="15" hidden="false" customHeight="true" outlineLevel="0" collapsed="false">
      <c r="A23" s="7" t="s">
        <v>269</v>
      </c>
      <c r="B23" s="7" t="s">
        <v>270</v>
      </c>
      <c r="C23" s="19" t="n">
        <v>46295</v>
      </c>
      <c r="D23" s="20" t="n">
        <v>1420350</v>
      </c>
      <c r="E23" s="7" t="s">
        <v>271</v>
      </c>
      <c r="F23" s="33" t="n">
        <f aca="false">IF($C23="","",$B$4-$C23)</f>
        <v>0</v>
      </c>
      <c r="G23" s="9" t="str">
        <f aca="false">IF($F23="","",IF($F23&gt;Inputs!$C$9,"Aged",""))</f>
        <v/>
      </c>
      <c r="H23" s="7" t="s">
        <v>272</v>
      </c>
      <c r="I23" s="19" t="n">
        <v>46296</v>
      </c>
    </row>
    <row r="24" customFormat="false" ht="15" hidden="false" customHeight="true" outlineLevel="0" collapsed="false">
      <c r="A24" s="7" t="s">
        <v>273</v>
      </c>
      <c r="B24" s="7" t="s">
        <v>274</v>
      </c>
      <c r="C24" s="19" t="n">
        <v>46294</v>
      </c>
      <c r="D24" s="20" t="n">
        <v>-845200</v>
      </c>
      <c r="E24" s="7" t="s">
        <v>271</v>
      </c>
      <c r="F24" s="33" t="n">
        <f aca="false">IF($C24="","",$B$4-$C24)</f>
        <v>1</v>
      </c>
      <c r="G24" s="9" t="str">
        <f aca="false">IF($F24="","",IF($F24&gt;Inputs!$C$9,"Aged",""))</f>
        <v/>
      </c>
      <c r="H24" s="7" t="s">
        <v>275</v>
      </c>
      <c r="I24" s="19" t="n">
        <v>46296</v>
      </c>
    </row>
    <row r="25" customFormat="false" ht="15" hidden="false" customHeight="true" outlineLevel="0" collapsed="false">
      <c r="A25" s="7" t="s">
        <v>276</v>
      </c>
      <c r="B25" s="7" t="s">
        <v>277</v>
      </c>
      <c r="C25" s="19" t="n">
        <v>46261</v>
      </c>
      <c r="D25" s="20" t="n">
        <v>-61730</v>
      </c>
      <c r="E25" s="7" t="s">
        <v>271</v>
      </c>
      <c r="F25" s="33" t="n">
        <f aca="false">IF($C25="","",$B$4-$C25)</f>
        <v>34</v>
      </c>
      <c r="G25" s="9" t="str">
        <f aca="false">IF($F25="","",IF($F25&gt;Inputs!$C$9,"Aged",""))</f>
        <v>Aged</v>
      </c>
      <c r="H25" s="7" t="s">
        <v>278</v>
      </c>
      <c r="I25" s="19" t="n">
        <v>46304</v>
      </c>
    </row>
    <row r="26" customFormat="false" ht="15" hidden="false" customHeight="true" outlineLevel="0" collapsed="false">
      <c r="F26" s="33" t="str">
        <f aca="false">IF($C26="","",$B$4-$C26)</f>
        <v/>
      </c>
      <c r="G26" s="9" t="str">
        <f aca="false">IF($F26="","",IF($F26&gt;Inputs!$C$9,"Aged",""))</f>
        <v/>
      </c>
    </row>
    <row r="27" customFormat="false" ht="15" hidden="false" customHeight="true" outlineLevel="0" collapsed="false">
      <c r="F27" s="33" t="str">
        <f aca="false">IF($C27="","",$B$4-$C27)</f>
        <v/>
      </c>
      <c r="G27" s="9" t="str">
        <f aca="false">IF($F27="","",IF($F27&gt;Inputs!$C$9,"Aged",""))</f>
        <v/>
      </c>
    </row>
    <row r="28" customFormat="false" ht="15" hidden="false" customHeight="true" outlineLevel="0" collapsed="false">
      <c r="F28" s="33" t="str">
        <f aca="false">IF($C28="","",$B$4-$C28)</f>
        <v/>
      </c>
      <c r="G28" s="9" t="str">
        <f aca="false">IF($F28="","",IF($F28&gt;Inputs!$C$9,"Aged",""))</f>
        <v/>
      </c>
    </row>
    <row r="29" customFormat="false" ht="15" hidden="false" customHeight="true" outlineLevel="0" collapsed="false">
      <c r="F29" s="33" t="str">
        <f aca="false">IF($C29="","",$B$4-$C29)</f>
        <v/>
      </c>
      <c r="G29" s="9" t="str">
        <f aca="false">IF($F29="","",IF($F29&gt;Inputs!$C$9,"Aged",""))</f>
        <v/>
      </c>
    </row>
    <row r="30" customFormat="false" ht="15" hidden="false" customHeight="true" outlineLevel="0" collapsed="false">
      <c r="F30" s="33" t="str">
        <f aca="false">IF($C30="","",$B$4-$C30)</f>
        <v/>
      </c>
      <c r="G30" s="9" t="str">
        <f aca="false">IF($F30="","",IF($F30&gt;Inputs!$C$9,"Aged",""))</f>
        <v/>
      </c>
    </row>
    <row r="31" customFormat="false" ht="15" hidden="false" customHeight="true" outlineLevel="0" collapsed="false">
      <c r="F31" s="33" t="str">
        <f aca="false">IF($C31="","",$B$4-$C31)</f>
        <v/>
      </c>
      <c r="G31" s="9" t="str">
        <f aca="false">IF($F31="","",IF($F31&gt;Inputs!$C$9,"Aged",""))</f>
        <v/>
      </c>
    </row>
    <row r="32" customFormat="false" ht="15" hidden="false" customHeight="true" outlineLevel="0" collapsed="false">
      <c r="F32" s="33" t="str">
        <f aca="false">IF($C32="","",$B$4-$C32)</f>
        <v/>
      </c>
      <c r="G32" s="9" t="str">
        <f aca="false">IF($F32="","",IF($F32&gt;Inputs!$C$9,"Aged",""))</f>
        <v/>
      </c>
    </row>
    <row r="33" customFormat="false" ht="15" hidden="false" customHeight="true" outlineLevel="0" collapsed="false">
      <c r="F33" s="33" t="str">
        <f aca="false">IF($C33="","",$B$4-$C33)</f>
        <v/>
      </c>
      <c r="G33" s="9" t="str">
        <f aca="false">IF($F33="","",IF($F33&gt;Inputs!$C$9,"Aged",""))</f>
        <v/>
      </c>
    </row>
    <row r="34" customFormat="false" ht="15" hidden="false" customHeight="true" outlineLevel="0" collapsed="false">
      <c r="F34" s="33" t="str">
        <f aca="false">IF($C34="","",$B$4-$C34)</f>
        <v/>
      </c>
      <c r="G34" s="9" t="str">
        <f aca="false">IF($F34="","",IF($F34&gt;Inputs!$C$9,"Aged",""))</f>
        <v/>
      </c>
    </row>
    <row r="35" customFormat="false" ht="15" hidden="false" customHeight="true" outlineLevel="0" collapsed="false">
      <c r="F35" s="33" t="str">
        <f aca="false">IF($C35="","",$B$4-$C35)</f>
        <v/>
      </c>
      <c r="G35" s="9" t="str">
        <f aca="false">IF($F35="","",IF($F35&gt;Inputs!$C$9,"Aged",""))</f>
        <v/>
      </c>
    </row>
    <row r="36" customFormat="false" ht="15" hidden="false" customHeight="true" outlineLevel="0" collapsed="false">
      <c r="F36" s="33" t="str">
        <f aca="false">IF($C36="","",$B$4-$C36)</f>
        <v/>
      </c>
      <c r="G36" s="9" t="str">
        <f aca="false">IF($F36="","",IF($F36&gt;Inputs!$C$9,"Aged",""))</f>
        <v/>
      </c>
    </row>
    <row r="37" customFormat="false" ht="15" hidden="false" customHeight="true" outlineLevel="0" collapsed="false">
      <c r="F37" s="33" t="str">
        <f aca="false">IF($C37="","",$B$4-$C37)</f>
        <v/>
      </c>
      <c r="G37" s="9" t="str">
        <f aca="false">IF($F37="","",IF($F37&gt;Inputs!$C$9,"Aged",""))</f>
        <v/>
      </c>
    </row>
    <row r="38" customFormat="false" ht="15" hidden="false" customHeight="true" outlineLevel="0" collapsed="false">
      <c r="F38" s="33" t="str">
        <f aca="false">IF($C38="","",$B$4-$C38)</f>
        <v/>
      </c>
      <c r="G38" s="9" t="str">
        <f aca="false">IF($F38="","",IF($F38&gt;Inputs!$C$9,"Aged",""))</f>
        <v/>
      </c>
    </row>
    <row r="39" customFormat="false" ht="15" hidden="false" customHeight="true" outlineLevel="0" collapsed="false">
      <c r="F39" s="33" t="str">
        <f aca="false">IF($C39="","",$B$4-$C39)</f>
        <v/>
      </c>
      <c r="G39" s="9" t="str">
        <f aca="false">IF($F39="","",IF($F39&gt;Inputs!$C$9,"Aged",""))</f>
        <v/>
      </c>
    </row>
    <row r="40" customFormat="false" ht="15" hidden="false" customHeight="true" outlineLevel="0" collapsed="false">
      <c r="F40" s="33" t="str">
        <f aca="false">IF($C40="","",$B$4-$C40)</f>
        <v/>
      </c>
      <c r="G40" s="9" t="str">
        <f aca="false">IF($F40="","",IF($F40&gt;Inputs!$C$9,"Aged",""))</f>
        <v/>
      </c>
    </row>
    <row r="41" customFormat="false" ht="15" hidden="false" customHeight="true" outlineLevel="0" collapsed="false">
      <c r="F41" s="33" t="str">
        <f aca="false">IF($C41="","",$B$4-$C41)</f>
        <v/>
      </c>
      <c r="G41" s="9" t="str">
        <f aca="false">IF($F41="","",IF($F41&gt;Inputs!$C$9,"Aged",""))</f>
        <v/>
      </c>
    </row>
    <row r="44" customFormat="false" ht="15" hidden="false" customHeight="true" outlineLevel="0" collapsed="false">
      <c r="A44" s="4" t="s">
        <v>279</v>
      </c>
    </row>
    <row r="45" customFormat="false" ht="15" hidden="false" customHeight="true" outlineLevel="0" collapsed="false">
      <c r="A45" s="8" t="s">
        <v>71</v>
      </c>
      <c r="B45" s="9" t="str">
        <f aca="false">Inputs!$C$6</f>
        <v>Bhagyashree Amblimath</v>
      </c>
      <c r="C45" s="19" t="n">
        <v>46300</v>
      </c>
    </row>
    <row r="46" customFormat="false" ht="15" hidden="false" customHeight="true" outlineLevel="0" collapsed="false">
      <c r="A46" s="8" t="s">
        <v>74</v>
      </c>
      <c r="B46" s="9" t="str">
        <f aca="false">Inputs!$C$7</f>
        <v>Financial Controller (simulated)</v>
      </c>
      <c r="C46" s="34"/>
      <c r="D46" s="3" t="s">
        <v>280</v>
      </c>
    </row>
    <row r="48" customFormat="false" ht="15" hidden="false" customHeight="true" outlineLevel="0" collapsed="false">
      <c r="A48" s="3" t="s">
        <v>281</v>
      </c>
    </row>
  </sheetData>
  <conditionalFormatting sqref="E18">
    <cfRule type="expression" priority="2" aboveAverage="0" equalAverage="0" bottom="0" percent="0" rank="0" text="" dxfId="0">
      <formula>$E$18="RECONCILED"</formula>
    </cfRule>
    <cfRule type="expression" priority="3" aboveAverage="0" equalAverage="0" bottom="0" percent="0" rank="0" text="" dxfId="1">
      <formula>$E$18="INVESTIGATE"</formula>
    </cfRule>
  </conditionalFormatting>
  <conditionalFormatting sqref="G22:G41">
    <cfRule type="cellIs" priority="4" operator="equal" aboveAverage="0" equalAverage="0" bottom="0" percent="0" rank="0" text="" dxfId="5">
      <formula>"Aged"</formula>
    </cfRule>
  </conditionalFormatting>
  <dataValidations count="1">
    <dataValidation allowBlank="true" errorStyle="stop" operator="between" showDropDown="false" showErrorMessage="false" showInputMessage="false" sqref="E22:E41" type="list">
      <formula1>"Timing,GL adjustment"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282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243</v>
      </c>
      <c r="B4" s="11" t="n">
        <f aca="false">Inputs!$C$5</f>
        <v>46295</v>
      </c>
    </row>
    <row r="5" customFormat="false" ht="15" hidden="false" customHeight="true" outlineLevel="0" collapsed="false">
      <c r="A5" s="4" t="s">
        <v>244</v>
      </c>
      <c r="B5" s="31" t="n">
        <v>1100</v>
      </c>
      <c r="C5" s="9" t="str">
        <f aca="false">INDEX(CoA!$B$6:$B$46,MATCH($B5,CoA!$A$6:$A$46,0))</f>
        <v>Trade debtors</v>
      </c>
    </row>
    <row r="6" customFormat="false" ht="15" hidden="false" customHeight="true" outlineLevel="0" collapsed="false">
      <c r="A6" s="4" t="s">
        <v>245</v>
      </c>
    </row>
    <row r="7" customFormat="false" ht="15" hidden="false" customHeight="true" outlineLevel="0" collapsed="false">
      <c r="A7" s="4" t="s">
        <v>246</v>
      </c>
    </row>
    <row r="8" customFormat="false" ht="15" hidden="false" customHeight="true" outlineLevel="0" collapsed="false">
      <c r="A8" s="4" t="s">
        <v>247</v>
      </c>
      <c r="B8" s="31" t="n">
        <v>1</v>
      </c>
    </row>
    <row r="10" customFormat="false" ht="15" hidden="false" customHeight="true" outlineLevel="0" collapsed="false">
      <c r="A10" s="4" t="s">
        <v>248</v>
      </c>
      <c r="D10" s="12" t="n">
        <f aca="false">$B$8*(IF($B$5="",0,SUMIF(TB!$A$6:$A$46,$B$5,TB!$F$6:$F$46))+IF($B$6="",0,SUMIF(TB!$A$6:$A$46,$B$6,TB!$F$6:$F$46))+IF($B$7="",0,SUMIF(TB!$A$6:$A$46,$B$7,TB!$F$6:$F$46)))</f>
        <v>3150000</v>
      </c>
    </row>
    <row r="11" customFormat="false" ht="15" hidden="false" customHeight="true" outlineLevel="0" collapsed="false">
      <c r="A11" s="8" t="s">
        <v>249</v>
      </c>
      <c r="D11" s="21" t="n">
        <f aca="false">SUMIF($E$22:$E$41,"GL adjustment",$D$22:$D$41)</f>
        <v>-12600</v>
      </c>
    </row>
    <row r="12" customFormat="false" ht="15" hidden="false" customHeight="true" outlineLevel="0" collapsed="false">
      <c r="A12" s="4" t="s">
        <v>250</v>
      </c>
      <c r="D12" s="22" t="n">
        <f aca="false">D10+D11</f>
        <v>3137400</v>
      </c>
    </row>
    <row r="14" customFormat="false" ht="15" hidden="false" customHeight="true" outlineLevel="0" collapsed="false">
      <c r="A14" s="4" t="s">
        <v>251</v>
      </c>
      <c r="B14" s="7" t="s">
        <v>283</v>
      </c>
      <c r="D14" s="20" t="n">
        <v>3323800</v>
      </c>
    </row>
    <row r="15" customFormat="false" ht="15" hidden="false" customHeight="true" outlineLevel="0" collapsed="false">
      <c r="A15" s="8" t="s">
        <v>253</v>
      </c>
      <c r="D15" s="21" t="n">
        <f aca="false">SUMIF($E$22:$E$41,"Timing",$D$22:$D$41)</f>
        <v>-186400</v>
      </c>
    </row>
    <row r="16" customFormat="false" ht="15" hidden="false" customHeight="true" outlineLevel="0" collapsed="false">
      <c r="A16" s="4" t="s">
        <v>254</v>
      </c>
      <c r="D16" s="22" t="n">
        <f aca="false">D14+D15</f>
        <v>3137400</v>
      </c>
    </row>
    <row r="18" customFormat="false" ht="15" hidden="false" customHeight="true" outlineLevel="0" collapsed="false">
      <c r="A18" s="4" t="s">
        <v>255</v>
      </c>
      <c r="D18" s="32" t="n">
        <f aca="false">ROUND(D12-D16,2)</f>
        <v>0</v>
      </c>
      <c r="E18" s="27" t="str">
        <f aca="false">IF(ABS(D18)&lt;=Inputs!$C$12,"RECONCILED","INVESTIGATE")</f>
        <v>RECONCILED</v>
      </c>
    </row>
    <row r="19" customFormat="false" ht="15" hidden="false" customHeight="true" outlineLevel="0" collapsed="false">
      <c r="A19" s="8" t="s">
        <v>256</v>
      </c>
      <c r="D19" s="33" t="n">
        <f aca="false">COUNTIF($G$22:$G$41,"Aged")</f>
        <v>0</v>
      </c>
    </row>
    <row r="21" customFormat="false" ht="15" hidden="false" customHeight="true" outlineLevel="0" collapsed="false">
      <c r="A21" s="6" t="s">
        <v>257</v>
      </c>
      <c r="B21" s="6" t="s">
        <v>258</v>
      </c>
      <c r="C21" s="6" t="s">
        <v>259</v>
      </c>
      <c r="D21" s="6" t="s">
        <v>260</v>
      </c>
      <c r="E21" s="6" t="s">
        <v>91</v>
      </c>
      <c r="F21" s="6" t="s">
        <v>261</v>
      </c>
      <c r="G21" s="6" t="s">
        <v>262</v>
      </c>
      <c r="H21" s="6" t="s">
        <v>263</v>
      </c>
      <c r="I21" s="6" t="s">
        <v>264</v>
      </c>
    </row>
    <row r="22" customFormat="false" ht="15" hidden="false" customHeight="true" outlineLevel="0" collapsed="false">
      <c r="A22" s="7" t="s">
        <v>284</v>
      </c>
      <c r="B22" s="7" t="s">
        <v>285</v>
      </c>
      <c r="C22" s="19" t="n">
        <v>46293</v>
      </c>
      <c r="D22" s="20" t="n">
        <v>-12600</v>
      </c>
      <c r="E22" s="7" t="s">
        <v>267</v>
      </c>
      <c r="F22" s="33" t="n">
        <f aca="false">IF($C22="","",$B$4-$C22)</f>
        <v>2</v>
      </c>
      <c r="G22" s="9" t="str">
        <f aca="false">IF($F22="","",IF($F22&gt;Inputs!$C$9,"Aged",""))</f>
        <v/>
      </c>
      <c r="H22" s="7" t="s">
        <v>286</v>
      </c>
      <c r="I22" s="19" t="n">
        <v>46297</v>
      </c>
    </row>
    <row r="23" customFormat="false" ht="15" hidden="false" customHeight="true" outlineLevel="0" collapsed="false">
      <c r="A23" s="7" t="s">
        <v>287</v>
      </c>
      <c r="B23" s="7" t="s">
        <v>288</v>
      </c>
      <c r="C23" s="19" t="n">
        <v>46295</v>
      </c>
      <c r="D23" s="20" t="n">
        <v>-186400</v>
      </c>
      <c r="E23" s="7" t="s">
        <v>271</v>
      </c>
      <c r="F23" s="33" t="n">
        <f aca="false">IF($C23="","",$B$4-$C23)</f>
        <v>0</v>
      </c>
      <c r="G23" s="9" t="str">
        <f aca="false">IF($F23="","",IF($F23&gt;Inputs!$C$9,"Aged",""))</f>
        <v/>
      </c>
      <c r="H23" s="7" t="s">
        <v>289</v>
      </c>
      <c r="I23" s="19" t="n">
        <v>46296</v>
      </c>
    </row>
    <row r="24" customFormat="false" ht="15" hidden="false" customHeight="true" outlineLevel="0" collapsed="false">
      <c r="F24" s="33" t="str">
        <f aca="false">IF($C24="","",$B$4-$C24)</f>
        <v/>
      </c>
      <c r="G24" s="9" t="str">
        <f aca="false">IF($F24="","",IF($F24&gt;Inputs!$C$9,"Aged",""))</f>
        <v/>
      </c>
    </row>
    <row r="25" customFormat="false" ht="15" hidden="false" customHeight="true" outlineLevel="0" collapsed="false">
      <c r="F25" s="33" t="str">
        <f aca="false">IF($C25="","",$B$4-$C25)</f>
        <v/>
      </c>
      <c r="G25" s="9" t="str">
        <f aca="false">IF($F25="","",IF($F25&gt;Inputs!$C$9,"Aged",""))</f>
        <v/>
      </c>
    </row>
    <row r="26" customFormat="false" ht="15" hidden="false" customHeight="true" outlineLevel="0" collapsed="false">
      <c r="F26" s="33" t="str">
        <f aca="false">IF($C26="","",$B$4-$C26)</f>
        <v/>
      </c>
      <c r="G26" s="9" t="str">
        <f aca="false">IF($F26="","",IF($F26&gt;Inputs!$C$9,"Aged",""))</f>
        <v/>
      </c>
    </row>
    <row r="27" customFormat="false" ht="15" hidden="false" customHeight="true" outlineLevel="0" collapsed="false">
      <c r="F27" s="33" t="str">
        <f aca="false">IF($C27="","",$B$4-$C27)</f>
        <v/>
      </c>
      <c r="G27" s="9" t="str">
        <f aca="false">IF($F27="","",IF($F27&gt;Inputs!$C$9,"Aged",""))</f>
        <v/>
      </c>
    </row>
    <row r="28" customFormat="false" ht="15" hidden="false" customHeight="true" outlineLevel="0" collapsed="false">
      <c r="F28" s="33" t="str">
        <f aca="false">IF($C28="","",$B$4-$C28)</f>
        <v/>
      </c>
      <c r="G28" s="9" t="str">
        <f aca="false">IF($F28="","",IF($F28&gt;Inputs!$C$9,"Aged",""))</f>
        <v/>
      </c>
    </row>
    <row r="29" customFormat="false" ht="15" hidden="false" customHeight="true" outlineLevel="0" collapsed="false">
      <c r="F29" s="33" t="str">
        <f aca="false">IF($C29="","",$B$4-$C29)</f>
        <v/>
      </c>
      <c r="G29" s="9" t="str">
        <f aca="false">IF($F29="","",IF($F29&gt;Inputs!$C$9,"Aged",""))</f>
        <v/>
      </c>
    </row>
    <row r="30" customFormat="false" ht="15" hidden="false" customHeight="true" outlineLevel="0" collapsed="false">
      <c r="F30" s="33" t="str">
        <f aca="false">IF($C30="","",$B$4-$C30)</f>
        <v/>
      </c>
      <c r="G30" s="9" t="str">
        <f aca="false">IF($F30="","",IF($F30&gt;Inputs!$C$9,"Aged",""))</f>
        <v/>
      </c>
    </row>
    <row r="31" customFormat="false" ht="15" hidden="false" customHeight="true" outlineLevel="0" collapsed="false">
      <c r="F31" s="33" t="str">
        <f aca="false">IF($C31="","",$B$4-$C31)</f>
        <v/>
      </c>
      <c r="G31" s="9" t="str">
        <f aca="false">IF($F31="","",IF($F31&gt;Inputs!$C$9,"Aged",""))</f>
        <v/>
      </c>
    </row>
    <row r="32" customFormat="false" ht="15" hidden="false" customHeight="true" outlineLevel="0" collapsed="false">
      <c r="F32" s="33" t="str">
        <f aca="false">IF($C32="","",$B$4-$C32)</f>
        <v/>
      </c>
      <c r="G32" s="9" t="str">
        <f aca="false">IF($F32="","",IF($F32&gt;Inputs!$C$9,"Aged",""))</f>
        <v/>
      </c>
    </row>
    <row r="33" customFormat="false" ht="15" hidden="false" customHeight="true" outlineLevel="0" collapsed="false">
      <c r="F33" s="33" t="str">
        <f aca="false">IF($C33="","",$B$4-$C33)</f>
        <v/>
      </c>
      <c r="G33" s="9" t="str">
        <f aca="false">IF($F33="","",IF($F33&gt;Inputs!$C$9,"Aged",""))</f>
        <v/>
      </c>
    </row>
    <row r="34" customFormat="false" ht="15" hidden="false" customHeight="true" outlineLevel="0" collapsed="false">
      <c r="F34" s="33" t="str">
        <f aca="false">IF($C34="","",$B$4-$C34)</f>
        <v/>
      </c>
      <c r="G34" s="9" t="str">
        <f aca="false">IF($F34="","",IF($F34&gt;Inputs!$C$9,"Aged",""))</f>
        <v/>
      </c>
    </row>
    <row r="35" customFormat="false" ht="15" hidden="false" customHeight="true" outlineLevel="0" collapsed="false">
      <c r="F35" s="33" t="str">
        <f aca="false">IF($C35="","",$B$4-$C35)</f>
        <v/>
      </c>
      <c r="G35" s="9" t="str">
        <f aca="false">IF($F35="","",IF($F35&gt;Inputs!$C$9,"Aged",""))</f>
        <v/>
      </c>
    </row>
    <row r="36" customFormat="false" ht="15" hidden="false" customHeight="true" outlineLevel="0" collapsed="false">
      <c r="F36" s="33" t="str">
        <f aca="false">IF($C36="","",$B$4-$C36)</f>
        <v/>
      </c>
      <c r="G36" s="9" t="str">
        <f aca="false">IF($F36="","",IF($F36&gt;Inputs!$C$9,"Aged",""))</f>
        <v/>
      </c>
    </row>
    <row r="37" customFormat="false" ht="15" hidden="false" customHeight="true" outlineLevel="0" collapsed="false">
      <c r="F37" s="33" t="str">
        <f aca="false">IF($C37="","",$B$4-$C37)</f>
        <v/>
      </c>
      <c r="G37" s="9" t="str">
        <f aca="false">IF($F37="","",IF($F37&gt;Inputs!$C$9,"Aged",""))</f>
        <v/>
      </c>
    </row>
    <row r="38" customFormat="false" ht="15" hidden="false" customHeight="true" outlineLevel="0" collapsed="false">
      <c r="F38" s="33" t="str">
        <f aca="false">IF($C38="","",$B$4-$C38)</f>
        <v/>
      </c>
      <c r="G38" s="9" t="str">
        <f aca="false">IF($F38="","",IF($F38&gt;Inputs!$C$9,"Aged",""))</f>
        <v/>
      </c>
    </row>
    <row r="39" customFormat="false" ht="15" hidden="false" customHeight="true" outlineLevel="0" collapsed="false">
      <c r="F39" s="33" t="str">
        <f aca="false">IF($C39="","",$B$4-$C39)</f>
        <v/>
      </c>
      <c r="G39" s="9" t="str">
        <f aca="false">IF($F39="","",IF($F39&gt;Inputs!$C$9,"Aged",""))</f>
        <v/>
      </c>
    </row>
    <row r="40" customFormat="false" ht="15" hidden="false" customHeight="true" outlineLevel="0" collapsed="false">
      <c r="F40" s="33" t="str">
        <f aca="false">IF($C40="","",$B$4-$C40)</f>
        <v/>
      </c>
      <c r="G40" s="9" t="str">
        <f aca="false">IF($F40="","",IF($F40&gt;Inputs!$C$9,"Aged",""))</f>
        <v/>
      </c>
    </row>
    <row r="41" customFormat="false" ht="15" hidden="false" customHeight="true" outlineLevel="0" collapsed="false">
      <c r="F41" s="33" t="str">
        <f aca="false">IF($C41="","",$B$4-$C41)</f>
        <v/>
      </c>
      <c r="G41" s="9" t="str">
        <f aca="false">IF($F41="","",IF($F41&gt;Inputs!$C$9,"Aged",""))</f>
        <v/>
      </c>
    </row>
    <row r="44" customFormat="false" ht="15" hidden="false" customHeight="true" outlineLevel="0" collapsed="false">
      <c r="A44" s="4" t="s">
        <v>279</v>
      </c>
    </row>
    <row r="45" customFormat="false" ht="15" hidden="false" customHeight="true" outlineLevel="0" collapsed="false">
      <c r="A45" s="8" t="s">
        <v>71</v>
      </c>
      <c r="B45" s="9" t="str">
        <f aca="false">Inputs!$C$6</f>
        <v>Bhagyashree Amblimath</v>
      </c>
      <c r="C45" s="19" t="n">
        <v>46300</v>
      </c>
    </row>
    <row r="46" customFormat="false" ht="15" hidden="false" customHeight="true" outlineLevel="0" collapsed="false">
      <c r="A46" s="8" t="s">
        <v>74</v>
      </c>
      <c r="B46" s="9" t="str">
        <f aca="false">Inputs!$C$7</f>
        <v>Financial Controller (simulated)</v>
      </c>
      <c r="C46" s="34"/>
      <c r="D46" s="3" t="s">
        <v>280</v>
      </c>
    </row>
    <row r="48" customFormat="false" ht="15" hidden="false" customHeight="true" outlineLevel="0" collapsed="false">
      <c r="A48" s="3" t="s">
        <v>281</v>
      </c>
    </row>
  </sheetData>
  <conditionalFormatting sqref="E18">
    <cfRule type="expression" priority="2" aboveAverage="0" equalAverage="0" bottom="0" percent="0" rank="0" text="" dxfId="0">
      <formula>$E$18="RECONCILED"</formula>
    </cfRule>
    <cfRule type="expression" priority="3" aboveAverage="0" equalAverage="0" bottom="0" percent="0" rank="0" text="" dxfId="1">
      <formula>$E$18="INVESTIGATE"</formula>
    </cfRule>
  </conditionalFormatting>
  <conditionalFormatting sqref="G22:G41">
    <cfRule type="cellIs" priority="4" operator="equal" aboveAverage="0" equalAverage="0" bottom="0" percent="0" rank="0" text="" dxfId="5">
      <formula>"Aged"</formula>
    </cfRule>
  </conditionalFormatting>
  <dataValidations count="1">
    <dataValidation allowBlank="true" errorStyle="stop" operator="between" showDropDown="false" showErrorMessage="false" showInputMessage="false" sqref="E22:E41" type="list">
      <formula1>"Timing,GL adjustment"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290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243</v>
      </c>
      <c r="B4" s="11" t="n">
        <f aca="false">Inputs!$C$5</f>
        <v>46295</v>
      </c>
    </row>
    <row r="5" customFormat="false" ht="15" hidden="false" customHeight="true" outlineLevel="0" collapsed="false">
      <c r="A5" s="4" t="s">
        <v>244</v>
      </c>
      <c r="B5" s="31" t="n">
        <v>2000</v>
      </c>
      <c r="C5" s="9" t="str">
        <f aca="false">INDEX(CoA!$B$6:$B$46,MATCH($B5,CoA!$A$6:$A$46,0))</f>
        <v>Trade creditors</v>
      </c>
    </row>
    <row r="6" customFormat="false" ht="15" hidden="false" customHeight="true" outlineLevel="0" collapsed="false">
      <c r="A6" s="4" t="s">
        <v>245</v>
      </c>
    </row>
    <row r="7" customFormat="false" ht="15" hidden="false" customHeight="true" outlineLevel="0" collapsed="false">
      <c r="A7" s="4" t="s">
        <v>246</v>
      </c>
    </row>
    <row r="8" customFormat="false" ht="15" hidden="false" customHeight="true" outlineLevel="0" collapsed="false">
      <c r="A8" s="4" t="s">
        <v>247</v>
      </c>
      <c r="B8" s="31" t="n">
        <v>-1</v>
      </c>
    </row>
    <row r="10" customFormat="false" ht="15" hidden="false" customHeight="true" outlineLevel="0" collapsed="false">
      <c r="A10" s="4" t="s">
        <v>248</v>
      </c>
      <c r="D10" s="12" t="n">
        <f aca="false">$B$8*(IF($B$5="",0,SUMIF(TB!$A$6:$A$46,$B$5,TB!$F$6:$F$46))+IF($B$6="",0,SUMIF(TB!$A$6:$A$46,$B$6,TB!$F$6:$F$46))+IF($B$7="",0,SUMIF(TB!$A$6:$A$46,$B$7,TB!$F$6:$F$46)))</f>
        <v>27800000</v>
      </c>
    </row>
    <row r="11" customFormat="false" ht="15" hidden="false" customHeight="true" outlineLevel="0" collapsed="false">
      <c r="A11" s="8" t="s">
        <v>249</v>
      </c>
      <c r="D11" s="21" t="n">
        <f aca="false">SUMIF($E$22:$E$41,"GL adjustment",$D$22:$D$41)</f>
        <v>31280</v>
      </c>
    </row>
    <row r="12" customFormat="false" ht="15" hidden="false" customHeight="true" outlineLevel="0" collapsed="false">
      <c r="A12" s="4" t="s">
        <v>250</v>
      </c>
      <c r="D12" s="22" t="n">
        <f aca="false">D10+D11</f>
        <v>27831280</v>
      </c>
    </row>
    <row r="14" customFormat="false" ht="15" hidden="false" customHeight="true" outlineLevel="0" collapsed="false">
      <c r="A14" s="4" t="s">
        <v>251</v>
      </c>
      <c r="B14" s="7" t="s">
        <v>291</v>
      </c>
      <c r="D14" s="20" t="n">
        <v>27886180</v>
      </c>
    </row>
    <row r="15" customFormat="false" ht="15" hidden="false" customHeight="true" outlineLevel="0" collapsed="false">
      <c r="A15" s="8" t="s">
        <v>253</v>
      </c>
      <c r="D15" s="21" t="n">
        <f aca="false">SUMIF($E$22:$E$41,"Timing",$D$22:$D$41)</f>
        <v>-54900</v>
      </c>
    </row>
    <row r="16" customFormat="false" ht="15" hidden="false" customHeight="true" outlineLevel="0" collapsed="false">
      <c r="A16" s="4" t="s">
        <v>254</v>
      </c>
      <c r="D16" s="22" t="n">
        <f aca="false">D14+D15</f>
        <v>27831280</v>
      </c>
    </row>
    <row r="18" customFormat="false" ht="15" hidden="false" customHeight="true" outlineLevel="0" collapsed="false">
      <c r="A18" s="4" t="s">
        <v>255</v>
      </c>
      <c r="D18" s="32" t="n">
        <f aca="false">ROUND(D12-D16,2)</f>
        <v>0</v>
      </c>
      <c r="E18" s="27" t="str">
        <f aca="false">IF(ABS(D18)&lt;=Inputs!$C$12,"RECONCILED","INVESTIGATE")</f>
        <v>RECONCILED</v>
      </c>
    </row>
    <row r="19" customFormat="false" ht="15" hidden="false" customHeight="true" outlineLevel="0" collapsed="false">
      <c r="A19" s="8" t="s">
        <v>256</v>
      </c>
      <c r="D19" s="33" t="n">
        <f aca="false">COUNTIF($G$22:$G$41,"Aged")</f>
        <v>0</v>
      </c>
    </row>
    <row r="21" customFormat="false" ht="15" hidden="false" customHeight="true" outlineLevel="0" collapsed="false">
      <c r="A21" s="6" t="s">
        <v>257</v>
      </c>
      <c r="B21" s="6" t="s">
        <v>258</v>
      </c>
      <c r="C21" s="6" t="s">
        <v>259</v>
      </c>
      <c r="D21" s="6" t="s">
        <v>260</v>
      </c>
      <c r="E21" s="6" t="s">
        <v>91</v>
      </c>
      <c r="F21" s="6" t="s">
        <v>261</v>
      </c>
      <c r="G21" s="6" t="s">
        <v>262</v>
      </c>
      <c r="H21" s="6" t="s">
        <v>263</v>
      </c>
      <c r="I21" s="6" t="s">
        <v>264</v>
      </c>
    </row>
    <row r="22" customFormat="false" ht="15" hidden="false" customHeight="true" outlineLevel="0" collapsed="false">
      <c r="A22" s="7" t="s">
        <v>292</v>
      </c>
      <c r="B22" s="7" t="s">
        <v>293</v>
      </c>
      <c r="C22" s="19" t="n">
        <v>46294</v>
      </c>
      <c r="D22" s="20" t="n">
        <v>31280</v>
      </c>
      <c r="E22" s="7" t="s">
        <v>267</v>
      </c>
      <c r="F22" s="33" t="n">
        <f aca="false">IF($C22="","",$B$4-$C22)</f>
        <v>1</v>
      </c>
      <c r="G22" s="9" t="str">
        <f aca="false">IF($F22="","",IF($F22&gt;Inputs!$C$9,"Aged",""))</f>
        <v/>
      </c>
      <c r="H22" s="7" t="s">
        <v>294</v>
      </c>
      <c r="I22" s="19" t="n">
        <v>46297</v>
      </c>
    </row>
    <row r="23" customFormat="false" ht="15" hidden="false" customHeight="true" outlineLevel="0" collapsed="false">
      <c r="A23" s="7" t="s">
        <v>295</v>
      </c>
      <c r="B23" s="7" t="s">
        <v>296</v>
      </c>
      <c r="C23" s="19" t="n">
        <v>46295</v>
      </c>
      <c r="D23" s="20" t="n">
        <v>-54900</v>
      </c>
      <c r="E23" s="7" t="s">
        <v>271</v>
      </c>
      <c r="F23" s="33" t="n">
        <f aca="false">IF($C23="","",$B$4-$C23)</f>
        <v>0</v>
      </c>
      <c r="G23" s="9" t="str">
        <f aca="false">IF($F23="","",IF($F23&gt;Inputs!$C$9,"Aged",""))</f>
        <v/>
      </c>
      <c r="H23" s="7" t="s">
        <v>275</v>
      </c>
      <c r="I23" s="19" t="n">
        <v>46296</v>
      </c>
    </row>
    <row r="24" customFormat="false" ht="15" hidden="false" customHeight="true" outlineLevel="0" collapsed="false">
      <c r="F24" s="33" t="str">
        <f aca="false">IF($C24="","",$B$4-$C24)</f>
        <v/>
      </c>
      <c r="G24" s="9" t="str">
        <f aca="false">IF($F24="","",IF($F24&gt;Inputs!$C$9,"Aged",""))</f>
        <v/>
      </c>
    </row>
    <row r="25" customFormat="false" ht="15" hidden="false" customHeight="true" outlineLevel="0" collapsed="false">
      <c r="F25" s="33" t="str">
        <f aca="false">IF($C25="","",$B$4-$C25)</f>
        <v/>
      </c>
      <c r="G25" s="9" t="str">
        <f aca="false">IF($F25="","",IF($F25&gt;Inputs!$C$9,"Aged",""))</f>
        <v/>
      </c>
    </row>
    <row r="26" customFormat="false" ht="15" hidden="false" customHeight="true" outlineLevel="0" collapsed="false">
      <c r="F26" s="33" t="str">
        <f aca="false">IF($C26="","",$B$4-$C26)</f>
        <v/>
      </c>
      <c r="G26" s="9" t="str">
        <f aca="false">IF($F26="","",IF($F26&gt;Inputs!$C$9,"Aged",""))</f>
        <v/>
      </c>
    </row>
    <row r="27" customFormat="false" ht="15" hidden="false" customHeight="true" outlineLevel="0" collapsed="false">
      <c r="F27" s="33" t="str">
        <f aca="false">IF($C27="","",$B$4-$C27)</f>
        <v/>
      </c>
      <c r="G27" s="9" t="str">
        <f aca="false">IF($F27="","",IF($F27&gt;Inputs!$C$9,"Aged",""))</f>
        <v/>
      </c>
    </row>
    <row r="28" customFormat="false" ht="15" hidden="false" customHeight="true" outlineLevel="0" collapsed="false">
      <c r="F28" s="33" t="str">
        <f aca="false">IF($C28="","",$B$4-$C28)</f>
        <v/>
      </c>
      <c r="G28" s="9" t="str">
        <f aca="false">IF($F28="","",IF($F28&gt;Inputs!$C$9,"Aged",""))</f>
        <v/>
      </c>
    </row>
    <row r="29" customFormat="false" ht="15" hidden="false" customHeight="true" outlineLevel="0" collapsed="false">
      <c r="F29" s="33" t="str">
        <f aca="false">IF($C29="","",$B$4-$C29)</f>
        <v/>
      </c>
      <c r="G29" s="9" t="str">
        <f aca="false">IF($F29="","",IF($F29&gt;Inputs!$C$9,"Aged",""))</f>
        <v/>
      </c>
    </row>
    <row r="30" customFormat="false" ht="15" hidden="false" customHeight="true" outlineLevel="0" collapsed="false">
      <c r="F30" s="33" t="str">
        <f aca="false">IF($C30="","",$B$4-$C30)</f>
        <v/>
      </c>
      <c r="G30" s="9" t="str">
        <f aca="false">IF($F30="","",IF($F30&gt;Inputs!$C$9,"Aged",""))</f>
        <v/>
      </c>
    </row>
    <row r="31" customFormat="false" ht="15" hidden="false" customHeight="true" outlineLevel="0" collapsed="false">
      <c r="F31" s="33" t="str">
        <f aca="false">IF($C31="","",$B$4-$C31)</f>
        <v/>
      </c>
      <c r="G31" s="9" t="str">
        <f aca="false">IF($F31="","",IF($F31&gt;Inputs!$C$9,"Aged",""))</f>
        <v/>
      </c>
    </row>
    <row r="32" customFormat="false" ht="15" hidden="false" customHeight="true" outlineLevel="0" collapsed="false">
      <c r="F32" s="33" t="str">
        <f aca="false">IF($C32="","",$B$4-$C32)</f>
        <v/>
      </c>
      <c r="G32" s="9" t="str">
        <f aca="false">IF($F32="","",IF($F32&gt;Inputs!$C$9,"Aged",""))</f>
        <v/>
      </c>
    </row>
    <row r="33" customFormat="false" ht="15" hidden="false" customHeight="true" outlineLevel="0" collapsed="false">
      <c r="F33" s="33" t="str">
        <f aca="false">IF($C33="","",$B$4-$C33)</f>
        <v/>
      </c>
      <c r="G33" s="9" t="str">
        <f aca="false">IF($F33="","",IF($F33&gt;Inputs!$C$9,"Aged",""))</f>
        <v/>
      </c>
    </row>
    <row r="34" customFormat="false" ht="15" hidden="false" customHeight="true" outlineLevel="0" collapsed="false">
      <c r="F34" s="33" t="str">
        <f aca="false">IF($C34="","",$B$4-$C34)</f>
        <v/>
      </c>
      <c r="G34" s="9" t="str">
        <f aca="false">IF($F34="","",IF($F34&gt;Inputs!$C$9,"Aged",""))</f>
        <v/>
      </c>
    </row>
    <row r="35" customFormat="false" ht="15" hidden="false" customHeight="true" outlineLevel="0" collapsed="false">
      <c r="F35" s="33" t="str">
        <f aca="false">IF($C35="","",$B$4-$C35)</f>
        <v/>
      </c>
      <c r="G35" s="9" t="str">
        <f aca="false">IF($F35="","",IF($F35&gt;Inputs!$C$9,"Aged",""))</f>
        <v/>
      </c>
    </row>
    <row r="36" customFormat="false" ht="15" hidden="false" customHeight="true" outlineLevel="0" collapsed="false">
      <c r="F36" s="33" t="str">
        <f aca="false">IF($C36="","",$B$4-$C36)</f>
        <v/>
      </c>
      <c r="G36" s="9" t="str">
        <f aca="false">IF($F36="","",IF($F36&gt;Inputs!$C$9,"Aged",""))</f>
        <v/>
      </c>
    </row>
    <row r="37" customFormat="false" ht="15" hidden="false" customHeight="true" outlineLevel="0" collapsed="false">
      <c r="F37" s="33" t="str">
        <f aca="false">IF($C37="","",$B$4-$C37)</f>
        <v/>
      </c>
      <c r="G37" s="9" t="str">
        <f aca="false">IF($F37="","",IF($F37&gt;Inputs!$C$9,"Aged",""))</f>
        <v/>
      </c>
    </row>
    <row r="38" customFormat="false" ht="15" hidden="false" customHeight="true" outlineLevel="0" collapsed="false">
      <c r="F38" s="33" t="str">
        <f aca="false">IF($C38="","",$B$4-$C38)</f>
        <v/>
      </c>
      <c r="G38" s="9" t="str">
        <f aca="false">IF($F38="","",IF($F38&gt;Inputs!$C$9,"Aged",""))</f>
        <v/>
      </c>
    </row>
    <row r="39" customFormat="false" ht="15" hidden="false" customHeight="true" outlineLevel="0" collapsed="false">
      <c r="F39" s="33" t="str">
        <f aca="false">IF($C39="","",$B$4-$C39)</f>
        <v/>
      </c>
      <c r="G39" s="9" t="str">
        <f aca="false">IF($F39="","",IF($F39&gt;Inputs!$C$9,"Aged",""))</f>
        <v/>
      </c>
    </row>
    <row r="40" customFormat="false" ht="15" hidden="false" customHeight="true" outlineLevel="0" collapsed="false">
      <c r="F40" s="33" t="str">
        <f aca="false">IF($C40="","",$B$4-$C40)</f>
        <v/>
      </c>
      <c r="G40" s="9" t="str">
        <f aca="false">IF($F40="","",IF($F40&gt;Inputs!$C$9,"Aged",""))</f>
        <v/>
      </c>
    </row>
    <row r="41" customFormat="false" ht="15" hidden="false" customHeight="true" outlineLevel="0" collapsed="false">
      <c r="F41" s="33" t="str">
        <f aca="false">IF($C41="","",$B$4-$C41)</f>
        <v/>
      </c>
      <c r="G41" s="9" t="str">
        <f aca="false">IF($F41="","",IF($F41&gt;Inputs!$C$9,"Aged",""))</f>
        <v/>
      </c>
    </row>
    <row r="44" customFormat="false" ht="15" hidden="false" customHeight="true" outlineLevel="0" collapsed="false">
      <c r="A44" s="4" t="s">
        <v>279</v>
      </c>
    </row>
    <row r="45" customFormat="false" ht="15" hidden="false" customHeight="true" outlineLevel="0" collapsed="false">
      <c r="A45" s="8" t="s">
        <v>71</v>
      </c>
      <c r="B45" s="9" t="str">
        <f aca="false">Inputs!$C$6</f>
        <v>Bhagyashree Amblimath</v>
      </c>
      <c r="C45" s="19" t="n">
        <v>46300</v>
      </c>
    </row>
    <row r="46" customFormat="false" ht="15" hidden="false" customHeight="true" outlineLevel="0" collapsed="false">
      <c r="A46" s="8" t="s">
        <v>74</v>
      </c>
      <c r="B46" s="9" t="str">
        <f aca="false">Inputs!$C$7</f>
        <v>Financial Controller (simulated)</v>
      </c>
      <c r="C46" s="34"/>
      <c r="D46" s="3" t="s">
        <v>280</v>
      </c>
    </row>
    <row r="48" customFormat="false" ht="15" hidden="false" customHeight="true" outlineLevel="0" collapsed="false">
      <c r="A48" s="3" t="s">
        <v>281</v>
      </c>
    </row>
  </sheetData>
  <conditionalFormatting sqref="E18">
    <cfRule type="expression" priority="2" aboveAverage="0" equalAverage="0" bottom="0" percent="0" rank="0" text="" dxfId="0">
      <formula>$E$18="RECONCILED"</formula>
    </cfRule>
    <cfRule type="expression" priority="3" aboveAverage="0" equalAverage="0" bottom="0" percent="0" rank="0" text="" dxfId="1">
      <formula>$E$18="INVESTIGATE"</formula>
    </cfRule>
  </conditionalFormatting>
  <conditionalFormatting sqref="G22:G41">
    <cfRule type="cellIs" priority="4" operator="equal" aboveAverage="0" equalAverage="0" bottom="0" percent="0" rank="0" text="" dxfId="5">
      <formula>"Aged"</formula>
    </cfRule>
  </conditionalFormatting>
  <dataValidations count="1">
    <dataValidation allowBlank="true" errorStyle="stop" operator="between" showDropDown="false" showErrorMessage="false" showInputMessage="false" sqref="E22:E41" type="list">
      <formula1>"Timing,GL adjustment"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297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243</v>
      </c>
      <c r="B4" s="11" t="n">
        <f aca="false">Inputs!$C$5</f>
        <v>46295</v>
      </c>
    </row>
    <row r="5" customFormat="false" ht="15" hidden="false" customHeight="true" outlineLevel="0" collapsed="false">
      <c r="A5" s="4" t="s">
        <v>244</v>
      </c>
      <c r="B5" s="31" t="n">
        <v>1200</v>
      </c>
      <c r="C5" s="9" t="str">
        <f aca="false">INDEX(CoA!$B$6:$B$46,MATCH($B5,CoA!$A$6:$A$46,0))</f>
        <v>Inventory - finished goods</v>
      </c>
    </row>
    <row r="6" customFormat="false" ht="15" hidden="false" customHeight="true" outlineLevel="0" collapsed="false">
      <c r="A6" s="4" t="s">
        <v>245</v>
      </c>
      <c r="B6" s="31" t="n">
        <v>1210</v>
      </c>
      <c r="C6" s="9" t="str">
        <f aca="false">INDEX(CoA!$B$6:$B$46,MATCH($B6,CoA!$A$6:$A$46,0))</f>
        <v>Inventory in transit</v>
      </c>
    </row>
    <row r="7" customFormat="false" ht="15" hidden="false" customHeight="true" outlineLevel="0" collapsed="false">
      <c r="A7" s="4" t="s">
        <v>246</v>
      </c>
    </row>
    <row r="8" customFormat="false" ht="15" hidden="false" customHeight="true" outlineLevel="0" collapsed="false">
      <c r="A8" s="4" t="s">
        <v>247</v>
      </c>
      <c r="B8" s="31" t="n">
        <v>1</v>
      </c>
    </row>
    <row r="10" customFormat="false" ht="15" hidden="false" customHeight="true" outlineLevel="0" collapsed="false">
      <c r="A10" s="4" t="s">
        <v>248</v>
      </c>
      <c r="D10" s="12" t="n">
        <f aca="false">$B$8*(IF($B$5="",0,SUMIF(TB!$A$6:$A$46,$B$5,TB!$F$6:$F$46))+IF($B$6="",0,SUMIF(TB!$A$6:$A$46,$B$6,TB!$F$6:$F$46))+IF($B$7="",0,SUMIF(TB!$A$6:$A$46,$B$7,TB!$F$6:$F$46)))</f>
        <v>104700000</v>
      </c>
    </row>
    <row r="11" customFormat="false" ht="15" hidden="false" customHeight="true" outlineLevel="0" collapsed="false">
      <c r="A11" s="8" t="s">
        <v>249</v>
      </c>
      <c r="D11" s="21" t="n">
        <f aca="false">SUMIF($E$22:$E$41,"GL adjustment",$D$22:$D$41)</f>
        <v>-265000</v>
      </c>
    </row>
    <row r="12" customFormat="false" ht="15" hidden="false" customHeight="true" outlineLevel="0" collapsed="false">
      <c r="A12" s="4" t="s">
        <v>250</v>
      </c>
      <c r="D12" s="22" t="n">
        <f aca="false">D10+D11</f>
        <v>104435000</v>
      </c>
    </row>
    <row r="14" customFormat="false" ht="15" hidden="false" customHeight="true" outlineLevel="0" collapsed="false">
      <c r="A14" s="4" t="s">
        <v>251</v>
      </c>
      <c r="B14" s="7" t="s">
        <v>298</v>
      </c>
      <c r="D14" s="20" t="n">
        <v>104124500</v>
      </c>
    </row>
    <row r="15" customFormat="false" ht="15" hidden="false" customHeight="true" outlineLevel="0" collapsed="false">
      <c r="A15" s="8" t="s">
        <v>253</v>
      </c>
      <c r="D15" s="21" t="n">
        <f aca="false">SUMIF($E$22:$E$41,"Timing",$D$22:$D$41)</f>
        <v>310500</v>
      </c>
    </row>
    <row r="16" customFormat="false" ht="15" hidden="false" customHeight="true" outlineLevel="0" collapsed="false">
      <c r="A16" s="4" t="s">
        <v>254</v>
      </c>
      <c r="D16" s="22" t="n">
        <f aca="false">D14+D15</f>
        <v>104435000</v>
      </c>
    </row>
    <row r="18" customFormat="false" ht="15" hidden="false" customHeight="true" outlineLevel="0" collapsed="false">
      <c r="A18" s="4" t="s">
        <v>255</v>
      </c>
      <c r="D18" s="32" t="n">
        <f aca="false">ROUND(D12-D16,2)</f>
        <v>0</v>
      </c>
      <c r="E18" s="27" t="str">
        <f aca="false">IF(ABS(D18)&lt;=Inputs!$C$12,"RECONCILED","INVESTIGATE")</f>
        <v>RECONCILED</v>
      </c>
    </row>
    <row r="19" customFormat="false" ht="15" hidden="false" customHeight="true" outlineLevel="0" collapsed="false">
      <c r="A19" s="8" t="s">
        <v>256</v>
      </c>
      <c r="D19" s="33" t="n">
        <f aca="false">COUNTIF($G$22:$G$41,"Aged")</f>
        <v>0</v>
      </c>
    </row>
    <row r="21" customFormat="false" ht="15" hidden="false" customHeight="true" outlineLevel="0" collapsed="false">
      <c r="A21" s="6" t="s">
        <v>257</v>
      </c>
      <c r="B21" s="6" t="s">
        <v>258</v>
      </c>
      <c r="C21" s="6" t="s">
        <v>259</v>
      </c>
      <c r="D21" s="6" t="s">
        <v>260</v>
      </c>
      <c r="E21" s="6" t="s">
        <v>91</v>
      </c>
      <c r="F21" s="6" t="s">
        <v>261</v>
      </c>
      <c r="G21" s="6" t="s">
        <v>262</v>
      </c>
      <c r="H21" s="6" t="s">
        <v>263</v>
      </c>
      <c r="I21" s="6" t="s">
        <v>264</v>
      </c>
    </row>
    <row r="22" customFormat="false" ht="15" hidden="false" customHeight="true" outlineLevel="0" collapsed="false">
      <c r="A22" s="7" t="s">
        <v>299</v>
      </c>
      <c r="B22" s="7" t="s">
        <v>300</v>
      </c>
      <c r="C22" s="19" t="n">
        <v>46291</v>
      </c>
      <c r="D22" s="20" t="n">
        <v>-265000</v>
      </c>
      <c r="E22" s="7" t="s">
        <v>267</v>
      </c>
      <c r="F22" s="33" t="n">
        <f aca="false">IF($C22="","",$B$4-$C22)</f>
        <v>4</v>
      </c>
      <c r="G22" s="9" t="str">
        <f aca="false">IF($F22="","",IF($F22&gt;Inputs!$C$9,"Aged",""))</f>
        <v/>
      </c>
      <c r="H22" s="7" t="s">
        <v>301</v>
      </c>
      <c r="I22" s="19" t="n">
        <v>46298</v>
      </c>
    </row>
    <row r="23" customFormat="false" ht="15" hidden="false" customHeight="true" outlineLevel="0" collapsed="false">
      <c r="A23" s="7" t="s">
        <v>302</v>
      </c>
      <c r="B23" s="7" t="s">
        <v>303</v>
      </c>
      <c r="C23" s="19" t="n">
        <v>46295</v>
      </c>
      <c r="D23" s="20" t="n">
        <v>310500</v>
      </c>
      <c r="E23" s="7" t="s">
        <v>271</v>
      </c>
      <c r="F23" s="33" t="n">
        <f aca="false">IF($C23="","",$B$4-$C23)</f>
        <v>0</v>
      </c>
      <c r="G23" s="9" t="str">
        <f aca="false">IF($F23="","",IF($F23&gt;Inputs!$C$9,"Aged",""))</f>
        <v/>
      </c>
      <c r="H23" s="7" t="s">
        <v>304</v>
      </c>
      <c r="I23" s="19" t="n">
        <v>46296</v>
      </c>
    </row>
    <row r="24" customFormat="false" ht="15" hidden="false" customHeight="true" outlineLevel="0" collapsed="false">
      <c r="F24" s="33" t="str">
        <f aca="false">IF($C24="","",$B$4-$C24)</f>
        <v/>
      </c>
      <c r="G24" s="9" t="str">
        <f aca="false">IF($F24="","",IF($F24&gt;Inputs!$C$9,"Aged",""))</f>
        <v/>
      </c>
    </row>
    <row r="25" customFormat="false" ht="15" hidden="false" customHeight="true" outlineLevel="0" collapsed="false">
      <c r="F25" s="33" t="str">
        <f aca="false">IF($C25="","",$B$4-$C25)</f>
        <v/>
      </c>
      <c r="G25" s="9" t="str">
        <f aca="false">IF($F25="","",IF($F25&gt;Inputs!$C$9,"Aged",""))</f>
        <v/>
      </c>
    </row>
    <row r="26" customFormat="false" ht="15" hidden="false" customHeight="true" outlineLevel="0" collapsed="false">
      <c r="F26" s="33" t="str">
        <f aca="false">IF($C26="","",$B$4-$C26)</f>
        <v/>
      </c>
      <c r="G26" s="9" t="str">
        <f aca="false">IF($F26="","",IF($F26&gt;Inputs!$C$9,"Aged",""))</f>
        <v/>
      </c>
    </row>
    <row r="27" customFormat="false" ht="15" hidden="false" customHeight="true" outlineLevel="0" collapsed="false">
      <c r="F27" s="33" t="str">
        <f aca="false">IF($C27="","",$B$4-$C27)</f>
        <v/>
      </c>
      <c r="G27" s="9" t="str">
        <f aca="false">IF($F27="","",IF($F27&gt;Inputs!$C$9,"Aged",""))</f>
        <v/>
      </c>
    </row>
    <row r="28" customFormat="false" ht="15" hidden="false" customHeight="true" outlineLevel="0" collapsed="false">
      <c r="F28" s="33" t="str">
        <f aca="false">IF($C28="","",$B$4-$C28)</f>
        <v/>
      </c>
      <c r="G28" s="9" t="str">
        <f aca="false">IF($F28="","",IF($F28&gt;Inputs!$C$9,"Aged",""))</f>
        <v/>
      </c>
    </row>
    <row r="29" customFormat="false" ht="15" hidden="false" customHeight="true" outlineLevel="0" collapsed="false">
      <c r="F29" s="33" t="str">
        <f aca="false">IF($C29="","",$B$4-$C29)</f>
        <v/>
      </c>
      <c r="G29" s="9" t="str">
        <f aca="false">IF($F29="","",IF($F29&gt;Inputs!$C$9,"Aged",""))</f>
        <v/>
      </c>
    </row>
    <row r="30" customFormat="false" ht="15" hidden="false" customHeight="true" outlineLevel="0" collapsed="false">
      <c r="F30" s="33" t="str">
        <f aca="false">IF($C30="","",$B$4-$C30)</f>
        <v/>
      </c>
      <c r="G30" s="9" t="str">
        <f aca="false">IF($F30="","",IF($F30&gt;Inputs!$C$9,"Aged",""))</f>
        <v/>
      </c>
    </row>
    <row r="31" customFormat="false" ht="15" hidden="false" customHeight="true" outlineLevel="0" collapsed="false">
      <c r="F31" s="33" t="str">
        <f aca="false">IF($C31="","",$B$4-$C31)</f>
        <v/>
      </c>
      <c r="G31" s="9" t="str">
        <f aca="false">IF($F31="","",IF($F31&gt;Inputs!$C$9,"Aged",""))</f>
        <v/>
      </c>
    </row>
    <row r="32" customFormat="false" ht="15" hidden="false" customHeight="true" outlineLevel="0" collapsed="false">
      <c r="F32" s="33" t="str">
        <f aca="false">IF($C32="","",$B$4-$C32)</f>
        <v/>
      </c>
      <c r="G32" s="9" t="str">
        <f aca="false">IF($F32="","",IF($F32&gt;Inputs!$C$9,"Aged",""))</f>
        <v/>
      </c>
    </row>
    <row r="33" customFormat="false" ht="15" hidden="false" customHeight="true" outlineLevel="0" collapsed="false">
      <c r="F33" s="33" t="str">
        <f aca="false">IF($C33="","",$B$4-$C33)</f>
        <v/>
      </c>
      <c r="G33" s="9" t="str">
        <f aca="false">IF($F33="","",IF($F33&gt;Inputs!$C$9,"Aged",""))</f>
        <v/>
      </c>
    </row>
    <row r="34" customFormat="false" ht="15" hidden="false" customHeight="true" outlineLevel="0" collapsed="false">
      <c r="F34" s="33" t="str">
        <f aca="false">IF($C34="","",$B$4-$C34)</f>
        <v/>
      </c>
      <c r="G34" s="9" t="str">
        <f aca="false">IF($F34="","",IF($F34&gt;Inputs!$C$9,"Aged",""))</f>
        <v/>
      </c>
    </row>
    <row r="35" customFormat="false" ht="15" hidden="false" customHeight="true" outlineLevel="0" collapsed="false">
      <c r="F35" s="33" t="str">
        <f aca="false">IF($C35="","",$B$4-$C35)</f>
        <v/>
      </c>
      <c r="G35" s="9" t="str">
        <f aca="false">IF($F35="","",IF($F35&gt;Inputs!$C$9,"Aged",""))</f>
        <v/>
      </c>
    </row>
    <row r="36" customFormat="false" ht="15" hidden="false" customHeight="true" outlineLevel="0" collapsed="false">
      <c r="F36" s="33" t="str">
        <f aca="false">IF($C36="","",$B$4-$C36)</f>
        <v/>
      </c>
      <c r="G36" s="9" t="str">
        <f aca="false">IF($F36="","",IF($F36&gt;Inputs!$C$9,"Aged",""))</f>
        <v/>
      </c>
    </row>
    <row r="37" customFormat="false" ht="15" hidden="false" customHeight="true" outlineLevel="0" collapsed="false">
      <c r="F37" s="33" t="str">
        <f aca="false">IF($C37="","",$B$4-$C37)</f>
        <v/>
      </c>
      <c r="G37" s="9" t="str">
        <f aca="false">IF($F37="","",IF($F37&gt;Inputs!$C$9,"Aged",""))</f>
        <v/>
      </c>
    </row>
    <row r="38" customFormat="false" ht="15" hidden="false" customHeight="true" outlineLevel="0" collapsed="false">
      <c r="F38" s="33" t="str">
        <f aca="false">IF($C38="","",$B$4-$C38)</f>
        <v/>
      </c>
      <c r="G38" s="9" t="str">
        <f aca="false">IF($F38="","",IF($F38&gt;Inputs!$C$9,"Aged",""))</f>
        <v/>
      </c>
    </row>
    <row r="39" customFormat="false" ht="15" hidden="false" customHeight="true" outlineLevel="0" collapsed="false">
      <c r="F39" s="33" t="str">
        <f aca="false">IF($C39="","",$B$4-$C39)</f>
        <v/>
      </c>
      <c r="G39" s="9" t="str">
        <f aca="false">IF($F39="","",IF($F39&gt;Inputs!$C$9,"Aged",""))</f>
        <v/>
      </c>
    </row>
    <row r="40" customFormat="false" ht="15" hidden="false" customHeight="true" outlineLevel="0" collapsed="false">
      <c r="F40" s="33" t="str">
        <f aca="false">IF($C40="","",$B$4-$C40)</f>
        <v/>
      </c>
      <c r="G40" s="9" t="str">
        <f aca="false">IF($F40="","",IF($F40&gt;Inputs!$C$9,"Aged",""))</f>
        <v/>
      </c>
    </row>
    <row r="41" customFormat="false" ht="15" hidden="false" customHeight="true" outlineLevel="0" collapsed="false">
      <c r="F41" s="33" t="str">
        <f aca="false">IF($C41="","",$B$4-$C41)</f>
        <v/>
      </c>
      <c r="G41" s="9" t="str">
        <f aca="false">IF($F41="","",IF($F41&gt;Inputs!$C$9,"Aged",""))</f>
        <v/>
      </c>
    </row>
    <row r="44" customFormat="false" ht="15" hidden="false" customHeight="true" outlineLevel="0" collapsed="false">
      <c r="A44" s="4" t="s">
        <v>279</v>
      </c>
    </row>
    <row r="45" customFormat="false" ht="15" hidden="false" customHeight="true" outlineLevel="0" collapsed="false">
      <c r="A45" s="8" t="s">
        <v>71</v>
      </c>
      <c r="B45" s="9" t="str">
        <f aca="false">Inputs!$C$6</f>
        <v>Bhagyashree Amblimath</v>
      </c>
      <c r="C45" s="19" t="n">
        <v>46300</v>
      </c>
    </row>
    <row r="46" customFormat="false" ht="15" hidden="false" customHeight="true" outlineLevel="0" collapsed="false">
      <c r="A46" s="8" t="s">
        <v>74</v>
      </c>
      <c r="B46" s="9" t="str">
        <f aca="false">Inputs!$C$7</f>
        <v>Financial Controller (simulated)</v>
      </c>
      <c r="C46" s="34"/>
      <c r="D46" s="3" t="s">
        <v>280</v>
      </c>
    </row>
    <row r="48" customFormat="false" ht="15" hidden="false" customHeight="true" outlineLevel="0" collapsed="false">
      <c r="A48" s="3" t="s">
        <v>281</v>
      </c>
    </row>
  </sheetData>
  <conditionalFormatting sqref="E18">
    <cfRule type="expression" priority="2" aboveAverage="0" equalAverage="0" bottom="0" percent="0" rank="0" text="" dxfId="0">
      <formula>$E$18="RECONCILED"</formula>
    </cfRule>
    <cfRule type="expression" priority="3" aboveAverage="0" equalAverage="0" bottom="0" percent="0" rank="0" text="" dxfId="1">
      <formula>$E$18="INVESTIGATE"</formula>
    </cfRule>
  </conditionalFormatting>
  <conditionalFormatting sqref="G22:G41">
    <cfRule type="cellIs" priority="4" operator="equal" aboveAverage="0" equalAverage="0" bottom="0" percent="0" rank="0" text="" dxfId="5">
      <formula>"Aged"</formula>
    </cfRule>
  </conditionalFormatting>
  <dataValidations count="1">
    <dataValidation allowBlank="true" errorStyle="stop" operator="between" showDropDown="false" showErrorMessage="false" showInputMessage="false" sqref="E22:E41" type="list">
      <formula1>"Timing,GL adjustment"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305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243</v>
      </c>
      <c r="B4" s="11" t="n">
        <f aca="false">Inputs!$C$5</f>
        <v>46295</v>
      </c>
    </row>
    <row r="5" customFormat="false" ht="15" hidden="false" customHeight="true" outlineLevel="0" collapsed="false">
      <c r="A5" s="4" t="s">
        <v>244</v>
      </c>
      <c r="B5" s="31" t="n">
        <v>2010</v>
      </c>
      <c r="C5" s="9" t="str">
        <f aca="false">INDEX(CoA!$B$6:$B$46,MATCH($B5,CoA!$A$6:$A$46,0))</f>
        <v>Accrued expenses</v>
      </c>
    </row>
    <row r="6" customFormat="false" ht="15" hidden="false" customHeight="true" outlineLevel="0" collapsed="false">
      <c r="A6" s="4" t="s">
        <v>245</v>
      </c>
      <c r="B6" s="31" t="n">
        <v>2020</v>
      </c>
      <c r="C6" s="9" t="str">
        <f aca="false">INDEX(CoA!$B$6:$B$46,MATCH($B6,CoA!$A$6:$A$46,0))</f>
        <v>Goods received not invoiced (GRNI)</v>
      </c>
    </row>
    <row r="7" customFormat="false" ht="15" hidden="false" customHeight="true" outlineLevel="0" collapsed="false">
      <c r="A7" s="4" t="s">
        <v>246</v>
      </c>
    </row>
    <row r="8" customFormat="false" ht="15" hidden="false" customHeight="true" outlineLevel="0" collapsed="false">
      <c r="A8" s="4" t="s">
        <v>247</v>
      </c>
      <c r="B8" s="31" t="n">
        <v>-1</v>
      </c>
    </row>
    <row r="10" customFormat="false" ht="15" hidden="false" customHeight="true" outlineLevel="0" collapsed="false">
      <c r="A10" s="4" t="s">
        <v>248</v>
      </c>
      <c r="D10" s="12" t="n">
        <f aca="false">$B$8*(IF($B$5="",0,SUMIF(TB!$A$6:$A$46,$B$5,TB!$F$6:$F$46))+IF($B$6="",0,SUMIF(TB!$A$6:$A$46,$B$6,TB!$F$6:$F$46))+IF($B$7="",0,SUMIF(TB!$A$6:$A$46,$B$7,TB!$F$6:$F$46)))</f>
        <v>11200000</v>
      </c>
    </row>
    <row r="11" customFormat="false" ht="15" hidden="false" customHeight="true" outlineLevel="0" collapsed="false">
      <c r="A11" s="8" t="s">
        <v>249</v>
      </c>
      <c r="D11" s="21" t="n">
        <f aca="false">SUMIF($E$22:$E$41,"GL adjustment",$D$22:$D$41)</f>
        <v>-218000</v>
      </c>
    </row>
    <row r="12" customFormat="false" ht="15" hidden="false" customHeight="true" outlineLevel="0" collapsed="false">
      <c r="A12" s="4" t="s">
        <v>250</v>
      </c>
      <c r="D12" s="22" t="n">
        <f aca="false">D10+D11</f>
        <v>10982000</v>
      </c>
    </row>
    <row r="14" customFormat="false" ht="15" hidden="false" customHeight="true" outlineLevel="0" collapsed="false">
      <c r="A14" s="4" t="s">
        <v>251</v>
      </c>
      <c r="B14" s="7" t="s">
        <v>306</v>
      </c>
      <c r="D14" s="20" t="n">
        <v>10887000</v>
      </c>
    </row>
    <row r="15" customFormat="false" ht="15" hidden="false" customHeight="true" outlineLevel="0" collapsed="false">
      <c r="A15" s="8" t="s">
        <v>253</v>
      </c>
      <c r="D15" s="21" t="n">
        <f aca="false">SUMIF($E$22:$E$41,"Timing",$D$22:$D$41)</f>
        <v>95000</v>
      </c>
    </row>
    <row r="16" customFormat="false" ht="15" hidden="false" customHeight="true" outlineLevel="0" collapsed="false">
      <c r="A16" s="4" t="s">
        <v>254</v>
      </c>
      <c r="D16" s="22" t="n">
        <f aca="false">D14+D15</f>
        <v>10982000</v>
      </c>
    </row>
    <row r="18" customFormat="false" ht="15" hidden="false" customHeight="true" outlineLevel="0" collapsed="false">
      <c r="A18" s="4" t="s">
        <v>255</v>
      </c>
      <c r="D18" s="32" t="n">
        <f aca="false">ROUND(D12-D16,2)</f>
        <v>0</v>
      </c>
      <c r="E18" s="27" t="str">
        <f aca="false">IF(ABS(D18)&lt;=Inputs!$C$12,"RECONCILED","INVESTIGATE")</f>
        <v>RECONCILED</v>
      </c>
    </row>
    <row r="19" customFormat="false" ht="15" hidden="false" customHeight="true" outlineLevel="0" collapsed="false">
      <c r="A19" s="8" t="s">
        <v>256</v>
      </c>
      <c r="D19" s="33" t="n">
        <f aca="false">COUNTIF($G$22:$G$41,"Aged")</f>
        <v>0</v>
      </c>
    </row>
    <row r="21" customFormat="false" ht="15" hidden="false" customHeight="true" outlineLevel="0" collapsed="false">
      <c r="A21" s="6" t="s">
        <v>257</v>
      </c>
      <c r="B21" s="6" t="s">
        <v>258</v>
      </c>
      <c r="C21" s="6" t="s">
        <v>259</v>
      </c>
      <c r="D21" s="6" t="s">
        <v>260</v>
      </c>
      <c r="E21" s="6" t="s">
        <v>91</v>
      </c>
      <c r="F21" s="6" t="s">
        <v>261</v>
      </c>
      <c r="G21" s="6" t="s">
        <v>262</v>
      </c>
      <c r="H21" s="6" t="s">
        <v>263</v>
      </c>
      <c r="I21" s="6" t="s">
        <v>264</v>
      </c>
    </row>
    <row r="22" customFormat="false" ht="15" hidden="false" customHeight="true" outlineLevel="0" collapsed="false">
      <c r="A22" s="7" t="s">
        <v>307</v>
      </c>
      <c r="B22" s="7" t="s">
        <v>308</v>
      </c>
      <c r="C22" s="19" t="n">
        <v>46295</v>
      </c>
      <c r="D22" s="20" t="n">
        <v>-218000</v>
      </c>
      <c r="E22" s="7" t="s">
        <v>267</v>
      </c>
      <c r="F22" s="33" t="n">
        <f aca="false">IF($C22="","",$B$4-$C22)</f>
        <v>0</v>
      </c>
      <c r="G22" s="9" t="str">
        <f aca="false">IF($F22="","",IF($F22&gt;Inputs!$C$9,"Aged",""))</f>
        <v/>
      </c>
      <c r="H22" s="7" t="s">
        <v>309</v>
      </c>
      <c r="I22" s="19" t="n">
        <v>46297</v>
      </c>
    </row>
    <row r="23" customFormat="false" ht="15" hidden="false" customHeight="true" outlineLevel="0" collapsed="false">
      <c r="A23" s="7" t="s">
        <v>310</v>
      </c>
      <c r="B23" s="7" t="s">
        <v>311</v>
      </c>
      <c r="C23" s="19" t="n">
        <v>46295</v>
      </c>
      <c r="D23" s="20" t="n">
        <v>95000</v>
      </c>
      <c r="E23" s="7" t="s">
        <v>271</v>
      </c>
      <c r="F23" s="33" t="n">
        <f aca="false">IF($C23="","",$B$4-$C23)</f>
        <v>0</v>
      </c>
      <c r="G23" s="9" t="str">
        <f aca="false">IF($F23="","",IF($F23&gt;Inputs!$C$9,"Aged",""))</f>
        <v/>
      </c>
      <c r="H23" s="7" t="s">
        <v>312</v>
      </c>
      <c r="I23" s="19" t="n">
        <v>46296</v>
      </c>
    </row>
    <row r="24" customFormat="false" ht="15" hidden="false" customHeight="true" outlineLevel="0" collapsed="false">
      <c r="F24" s="33" t="str">
        <f aca="false">IF($C24="","",$B$4-$C24)</f>
        <v/>
      </c>
      <c r="G24" s="9" t="str">
        <f aca="false">IF($F24="","",IF($F24&gt;Inputs!$C$9,"Aged",""))</f>
        <v/>
      </c>
    </row>
    <row r="25" customFormat="false" ht="15" hidden="false" customHeight="true" outlineLevel="0" collapsed="false">
      <c r="F25" s="33" t="str">
        <f aca="false">IF($C25="","",$B$4-$C25)</f>
        <v/>
      </c>
      <c r="G25" s="9" t="str">
        <f aca="false">IF($F25="","",IF($F25&gt;Inputs!$C$9,"Aged",""))</f>
        <v/>
      </c>
    </row>
    <row r="26" customFormat="false" ht="15" hidden="false" customHeight="true" outlineLevel="0" collapsed="false">
      <c r="F26" s="33" t="str">
        <f aca="false">IF($C26="","",$B$4-$C26)</f>
        <v/>
      </c>
      <c r="G26" s="9" t="str">
        <f aca="false">IF($F26="","",IF($F26&gt;Inputs!$C$9,"Aged",""))</f>
        <v/>
      </c>
    </row>
    <row r="27" customFormat="false" ht="15" hidden="false" customHeight="true" outlineLevel="0" collapsed="false">
      <c r="F27" s="33" t="str">
        <f aca="false">IF($C27="","",$B$4-$C27)</f>
        <v/>
      </c>
      <c r="G27" s="9" t="str">
        <f aca="false">IF($F27="","",IF($F27&gt;Inputs!$C$9,"Aged",""))</f>
        <v/>
      </c>
    </row>
    <row r="28" customFormat="false" ht="15" hidden="false" customHeight="true" outlineLevel="0" collapsed="false">
      <c r="F28" s="33" t="str">
        <f aca="false">IF($C28="","",$B$4-$C28)</f>
        <v/>
      </c>
      <c r="G28" s="9" t="str">
        <f aca="false">IF($F28="","",IF($F28&gt;Inputs!$C$9,"Aged",""))</f>
        <v/>
      </c>
    </row>
    <row r="29" customFormat="false" ht="15" hidden="false" customHeight="true" outlineLevel="0" collapsed="false">
      <c r="F29" s="33" t="str">
        <f aca="false">IF($C29="","",$B$4-$C29)</f>
        <v/>
      </c>
      <c r="G29" s="9" t="str">
        <f aca="false">IF($F29="","",IF($F29&gt;Inputs!$C$9,"Aged",""))</f>
        <v/>
      </c>
    </row>
    <row r="30" customFormat="false" ht="15" hidden="false" customHeight="true" outlineLevel="0" collapsed="false">
      <c r="F30" s="33" t="str">
        <f aca="false">IF($C30="","",$B$4-$C30)</f>
        <v/>
      </c>
      <c r="G30" s="9" t="str">
        <f aca="false">IF($F30="","",IF($F30&gt;Inputs!$C$9,"Aged",""))</f>
        <v/>
      </c>
    </row>
    <row r="31" customFormat="false" ht="15" hidden="false" customHeight="true" outlineLevel="0" collapsed="false">
      <c r="F31" s="33" t="str">
        <f aca="false">IF($C31="","",$B$4-$C31)</f>
        <v/>
      </c>
      <c r="G31" s="9" t="str">
        <f aca="false">IF($F31="","",IF($F31&gt;Inputs!$C$9,"Aged",""))</f>
        <v/>
      </c>
    </row>
    <row r="32" customFormat="false" ht="15" hidden="false" customHeight="true" outlineLevel="0" collapsed="false">
      <c r="F32" s="33" t="str">
        <f aca="false">IF($C32="","",$B$4-$C32)</f>
        <v/>
      </c>
      <c r="G32" s="9" t="str">
        <f aca="false">IF($F32="","",IF($F32&gt;Inputs!$C$9,"Aged",""))</f>
        <v/>
      </c>
    </row>
    <row r="33" customFormat="false" ht="15" hidden="false" customHeight="true" outlineLevel="0" collapsed="false">
      <c r="F33" s="33" t="str">
        <f aca="false">IF($C33="","",$B$4-$C33)</f>
        <v/>
      </c>
      <c r="G33" s="9" t="str">
        <f aca="false">IF($F33="","",IF($F33&gt;Inputs!$C$9,"Aged",""))</f>
        <v/>
      </c>
    </row>
    <row r="34" customFormat="false" ht="15" hidden="false" customHeight="true" outlineLevel="0" collapsed="false">
      <c r="F34" s="33" t="str">
        <f aca="false">IF($C34="","",$B$4-$C34)</f>
        <v/>
      </c>
      <c r="G34" s="9" t="str">
        <f aca="false">IF($F34="","",IF($F34&gt;Inputs!$C$9,"Aged",""))</f>
        <v/>
      </c>
    </row>
    <row r="35" customFormat="false" ht="15" hidden="false" customHeight="true" outlineLevel="0" collapsed="false">
      <c r="F35" s="33" t="str">
        <f aca="false">IF($C35="","",$B$4-$C35)</f>
        <v/>
      </c>
      <c r="G35" s="9" t="str">
        <f aca="false">IF($F35="","",IF($F35&gt;Inputs!$C$9,"Aged",""))</f>
        <v/>
      </c>
    </row>
    <row r="36" customFormat="false" ht="15" hidden="false" customHeight="true" outlineLevel="0" collapsed="false">
      <c r="F36" s="33" t="str">
        <f aca="false">IF($C36="","",$B$4-$C36)</f>
        <v/>
      </c>
      <c r="G36" s="9" t="str">
        <f aca="false">IF($F36="","",IF($F36&gt;Inputs!$C$9,"Aged",""))</f>
        <v/>
      </c>
    </row>
    <row r="37" customFormat="false" ht="15" hidden="false" customHeight="true" outlineLevel="0" collapsed="false">
      <c r="F37" s="33" t="str">
        <f aca="false">IF($C37="","",$B$4-$C37)</f>
        <v/>
      </c>
      <c r="G37" s="9" t="str">
        <f aca="false">IF($F37="","",IF($F37&gt;Inputs!$C$9,"Aged",""))</f>
        <v/>
      </c>
    </row>
    <row r="38" customFormat="false" ht="15" hidden="false" customHeight="true" outlineLevel="0" collapsed="false">
      <c r="F38" s="33" t="str">
        <f aca="false">IF($C38="","",$B$4-$C38)</f>
        <v/>
      </c>
      <c r="G38" s="9" t="str">
        <f aca="false">IF($F38="","",IF($F38&gt;Inputs!$C$9,"Aged",""))</f>
        <v/>
      </c>
    </row>
    <row r="39" customFormat="false" ht="15" hidden="false" customHeight="true" outlineLevel="0" collapsed="false">
      <c r="F39" s="33" t="str">
        <f aca="false">IF($C39="","",$B$4-$C39)</f>
        <v/>
      </c>
      <c r="G39" s="9" t="str">
        <f aca="false">IF($F39="","",IF($F39&gt;Inputs!$C$9,"Aged",""))</f>
        <v/>
      </c>
    </row>
    <row r="40" customFormat="false" ht="15" hidden="false" customHeight="true" outlineLevel="0" collapsed="false">
      <c r="F40" s="33" t="str">
        <f aca="false">IF($C40="","",$B$4-$C40)</f>
        <v/>
      </c>
      <c r="G40" s="9" t="str">
        <f aca="false">IF($F40="","",IF($F40&gt;Inputs!$C$9,"Aged",""))</f>
        <v/>
      </c>
    </row>
    <row r="41" customFormat="false" ht="15" hidden="false" customHeight="true" outlineLevel="0" collapsed="false">
      <c r="F41" s="33" t="str">
        <f aca="false">IF($C41="","",$B$4-$C41)</f>
        <v/>
      </c>
      <c r="G41" s="9" t="str">
        <f aca="false">IF($F41="","",IF($F41&gt;Inputs!$C$9,"Aged",""))</f>
        <v/>
      </c>
    </row>
    <row r="44" customFormat="false" ht="15" hidden="false" customHeight="true" outlineLevel="0" collapsed="false">
      <c r="A44" s="4" t="s">
        <v>279</v>
      </c>
    </row>
    <row r="45" customFormat="false" ht="15" hidden="false" customHeight="true" outlineLevel="0" collapsed="false">
      <c r="A45" s="8" t="s">
        <v>71</v>
      </c>
      <c r="B45" s="9" t="str">
        <f aca="false">Inputs!$C$6</f>
        <v>Bhagyashree Amblimath</v>
      </c>
      <c r="C45" s="19" t="n">
        <v>46300</v>
      </c>
    </row>
    <row r="46" customFormat="false" ht="15" hidden="false" customHeight="true" outlineLevel="0" collapsed="false">
      <c r="A46" s="8" t="s">
        <v>74</v>
      </c>
      <c r="B46" s="9" t="str">
        <f aca="false">Inputs!$C$7</f>
        <v>Financial Controller (simulated)</v>
      </c>
      <c r="C46" s="34"/>
      <c r="D46" s="3" t="s">
        <v>280</v>
      </c>
    </row>
    <row r="48" customFormat="false" ht="15" hidden="false" customHeight="true" outlineLevel="0" collapsed="false">
      <c r="A48" s="3" t="s">
        <v>281</v>
      </c>
    </row>
  </sheetData>
  <conditionalFormatting sqref="E18">
    <cfRule type="expression" priority="2" aboveAverage="0" equalAverage="0" bottom="0" percent="0" rank="0" text="" dxfId="0">
      <formula>$E$18="RECONCILED"</formula>
    </cfRule>
    <cfRule type="expression" priority="3" aboveAverage="0" equalAverage="0" bottom="0" percent="0" rank="0" text="" dxfId="1">
      <formula>$E$18="INVESTIGATE"</formula>
    </cfRule>
  </conditionalFormatting>
  <conditionalFormatting sqref="G22:G41">
    <cfRule type="cellIs" priority="4" operator="equal" aboveAverage="0" equalAverage="0" bottom="0" percent="0" rank="0" text="" dxfId="5">
      <formula>"Aged"</formula>
    </cfRule>
  </conditionalFormatting>
  <dataValidations count="1">
    <dataValidation allowBlank="true" errorStyle="stop" operator="between" showDropDown="false" showErrorMessage="false" showInputMessage="false" sqref="E22:E41" type="list">
      <formula1>"Timing,GL adjustment"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313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243</v>
      </c>
      <c r="B4" s="11" t="n">
        <f aca="false">Inputs!$C$5</f>
        <v>46295</v>
      </c>
    </row>
    <row r="5" customFormat="false" ht="15" hidden="false" customHeight="true" outlineLevel="0" collapsed="false">
      <c r="A5" s="4" t="s">
        <v>244</v>
      </c>
      <c r="B5" s="31" t="n">
        <v>1300</v>
      </c>
      <c r="C5" s="9" t="str">
        <f aca="false">INDEX(CoA!$B$6:$B$46,MATCH($B5,CoA!$A$6:$A$46,0))</f>
        <v>Prepayments</v>
      </c>
    </row>
    <row r="6" customFormat="false" ht="15" hidden="false" customHeight="true" outlineLevel="0" collapsed="false">
      <c r="A6" s="4" t="s">
        <v>245</v>
      </c>
    </row>
    <row r="7" customFormat="false" ht="15" hidden="false" customHeight="true" outlineLevel="0" collapsed="false">
      <c r="A7" s="4" t="s">
        <v>246</v>
      </c>
    </row>
    <row r="8" customFormat="false" ht="15" hidden="false" customHeight="true" outlineLevel="0" collapsed="false">
      <c r="A8" s="4" t="s">
        <v>247</v>
      </c>
      <c r="B8" s="31" t="n">
        <v>1</v>
      </c>
    </row>
    <row r="10" customFormat="false" ht="15" hidden="false" customHeight="true" outlineLevel="0" collapsed="false">
      <c r="A10" s="4" t="s">
        <v>248</v>
      </c>
      <c r="D10" s="12" t="n">
        <f aca="false">$B$8*(IF($B$5="",0,SUMIF(TB!$A$6:$A$46,$B$5,TB!$F$6:$F$46))+IF($B$6="",0,SUMIF(TB!$A$6:$A$46,$B$6,TB!$F$6:$F$46))+IF($B$7="",0,SUMIF(TB!$A$6:$A$46,$B$7,TB!$F$6:$F$46)))</f>
        <v>5400000</v>
      </c>
    </row>
    <row r="11" customFormat="false" ht="15" hidden="false" customHeight="true" outlineLevel="0" collapsed="false">
      <c r="A11" s="8" t="s">
        <v>249</v>
      </c>
      <c r="D11" s="21" t="n">
        <f aca="false">SUMIF($E$22:$E$41,"GL adjustment",$D$22:$D$41)</f>
        <v>-41750</v>
      </c>
    </row>
    <row r="12" customFormat="false" ht="15" hidden="false" customHeight="true" outlineLevel="0" collapsed="false">
      <c r="A12" s="4" t="s">
        <v>250</v>
      </c>
      <c r="D12" s="22" t="n">
        <f aca="false">D10+D11</f>
        <v>5358250</v>
      </c>
    </row>
    <row r="14" customFormat="false" ht="15" hidden="false" customHeight="true" outlineLevel="0" collapsed="false">
      <c r="A14" s="4" t="s">
        <v>251</v>
      </c>
      <c r="B14" s="7" t="s">
        <v>314</v>
      </c>
      <c r="D14" s="20" t="n">
        <v>5238250</v>
      </c>
    </row>
    <row r="15" customFormat="false" ht="15" hidden="false" customHeight="true" outlineLevel="0" collapsed="false">
      <c r="A15" s="8" t="s">
        <v>253</v>
      </c>
      <c r="D15" s="21" t="n">
        <f aca="false">SUMIF($E$22:$E$41,"Timing",$D$22:$D$41)</f>
        <v>120000</v>
      </c>
    </row>
    <row r="16" customFormat="false" ht="15" hidden="false" customHeight="true" outlineLevel="0" collapsed="false">
      <c r="A16" s="4" t="s">
        <v>254</v>
      </c>
      <c r="D16" s="22" t="n">
        <f aca="false">D14+D15</f>
        <v>5358250</v>
      </c>
    </row>
    <row r="18" customFormat="false" ht="15" hidden="false" customHeight="true" outlineLevel="0" collapsed="false">
      <c r="A18" s="4" t="s">
        <v>255</v>
      </c>
      <c r="D18" s="32" t="n">
        <f aca="false">ROUND(D12-D16,2)</f>
        <v>0</v>
      </c>
      <c r="E18" s="27" t="str">
        <f aca="false">IF(ABS(D18)&lt;=Inputs!$C$12,"RECONCILED","INVESTIGATE")</f>
        <v>RECONCILED</v>
      </c>
    </row>
    <row r="19" customFormat="false" ht="15" hidden="false" customHeight="true" outlineLevel="0" collapsed="false">
      <c r="A19" s="8" t="s">
        <v>256</v>
      </c>
      <c r="D19" s="33" t="n">
        <f aca="false">COUNTIF($G$22:$G$41,"Aged")</f>
        <v>0</v>
      </c>
    </row>
    <row r="21" customFormat="false" ht="15" hidden="false" customHeight="true" outlineLevel="0" collapsed="false">
      <c r="A21" s="6" t="s">
        <v>257</v>
      </c>
      <c r="B21" s="6" t="s">
        <v>258</v>
      </c>
      <c r="C21" s="6" t="s">
        <v>259</v>
      </c>
      <c r="D21" s="6" t="s">
        <v>260</v>
      </c>
      <c r="E21" s="6" t="s">
        <v>91</v>
      </c>
      <c r="F21" s="6" t="s">
        <v>261</v>
      </c>
      <c r="G21" s="6" t="s">
        <v>262</v>
      </c>
      <c r="H21" s="6" t="s">
        <v>263</v>
      </c>
      <c r="I21" s="6" t="s">
        <v>264</v>
      </c>
    </row>
    <row r="22" customFormat="false" ht="15" hidden="false" customHeight="true" outlineLevel="0" collapsed="false">
      <c r="A22" s="7" t="s">
        <v>315</v>
      </c>
      <c r="B22" s="7" t="s">
        <v>316</v>
      </c>
      <c r="C22" s="19" t="n">
        <v>46295</v>
      </c>
      <c r="D22" s="20" t="n">
        <v>-41750</v>
      </c>
      <c r="E22" s="7" t="s">
        <v>267</v>
      </c>
      <c r="F22" s="33" t="n">
        <f aca="false">IF($C22="","",$B$4-$C22)</f>
        <v>0</v>
      </c>
      <c r="G22" s="9" t="str">
        <f aca="false">IF($F22="","",IF($F22&gt;Inputs!$C$9,"Aged",""))</f>
        <v/>
      </c>
      <c r="H22" s="7" t="s">
        <v>317</v>
      </c>
      <c r="I22" s="19" t="n">
        <v>46297</v>
      </c>
    </row>
    <row r="23" customFormat="false" ht="15" hidden="false" customHeight="true" outlineLevel="0" collapsed="false">
      <c r="A23" s="7" t="s">
        <v>318</v>
      </c>
      <c r="B23" s="7" t="s">
        <v>319</v>
      </c>
      <c r="C23" s="19" t="n">
        <v>46295</v>
      </c>
      <c r="D23" s="20" t="n">
        <v>120000</v>
      </c>
      <c r="E23" s="7" t="s">
        <v>271</v>
      </c>
      <c r="F23" s="33" t="n">
        <f aca="false">IF($C23="","",$B$4-$C23)</f>
        <v>0</v>
      </c>
      <c r="G23" s="9" t="str">
        <f aca="false">IF($F23="","",IF($F23&gt;Inputs!$C$9,"Aged",""))</f>
        <v/>
      </c>
      <c r="H23" s="7" t="s">
        <v>320</v>
      </c>
      <c r="I23" s="19" t="n">
        <v>46296</v>
      </c>
    </row>
    <row r="24" customFormat="false" ht="15" hidden="false" customHeight="true" outlineLevel="0" collapsed="false">
      <c r="F24" s="33" t="str">
        <f aca="false">IF($C24="","",$B$4-$C24)</f>
        <v/>
      </c>
      <c r="G24" s="9" t="str">
        <f aca="false">IF($F24="","",IF($F24&gt;Inputs!$C$9,"Aged",""))</f>
        <v/>
      </c>
    </row>
    <row r="25" customFormat="false" ht="15" hidden="false" customHeight="true" outlineLevel="0" collapsed="false">
      <c r="F25" s="33" t="str">
        <f aca="false">IF($C25="","",$B$4-$C25)</f>
        <v/>
      </c>
      <c r="G25" s="9" t="str">
        <f aca="false">IF($F25="","",IF($F25&gt;Inputs!$C$9,"Aged",""))</f>
        <v/>
      </c>
    </row>
    <row r="26" customFormat="false" ht="15" hidden="false" customHeight="true" outlineLevel="0" collapsed="false">
      <c r="F26" s="33" t="str">
        <f aca="false">IF($C26="","",$B$4-$C26)</f>
        <v/>
      </c>
      <c r="G26" s="9" t="str">
        <f aca="false">IF($F26="","",IF($F26&gt;Inputs!$C$9,"Aged",""))</f>
        <v/>
      </c>
    </row>
    <row r="27" customFormat="false" ht="15" hidden="false" customHeight="true" outlineLevel="0" collapsed="false">
      <c r="F27" s="33" t="str">
        <f aca="false">IF($C27="","",$B$4-$C27)</f>
        <v/>
      </c>
      <c r="G27" s="9" t="str">
        <f aca="false">IF($F27="","",IF($F27&gt;Inputs!$C$9,"Aged",""))</f>
        <v/>
      </c>
    </row>
    <row r="28" customFormat="false" ht="15" hidden="false" customHeight="true" outlineLevel="0" collapsed="false">
      <c r="F28" s="33" t="str">
        <f aca="false">IF($C28="","",$B$4-$C28)</f>
        <v/>
      </c>
      <c r="G28" s="9" t="str">
        <f aca="false">IF($F28="","",IF($F28&gt;Inputs!$C$9,"Aged",""))</f>
        <v/>
      </c>
    </row>
    <row r="29" customFormat="false" ht="15" hidden="false" customHeight="true" outlineLevel="0" collapsed="false">
      <c r="F29" s="33" t="str">
        <f aca="false">IF($C29="","",$B$4-$C29)</f>
        <v/>
      </c>
      <c r="G29" s="9" t="str">
        <f aca="false">IF($F29="","",IF($F29&gt;Inputs!$C$9,"Aged",""))</f>
        <v/>
      </c>
    </row>
    <row r="30" customFormat="false" ht="15" hidden="false" customHeight="true" outlineLevel="0" collapsed="false">
      <c r="F30" s="33" t="str">
        <f aca="false">IF($C30="","",$B$4-$C30)</f>
        <v/>
      </c>
      <c r="G30" s="9" t="str">
        <f aca="false">IF($F30="","",IF($F30&gt;Inputs!$C$9,"Aged",""))</f>
        <v/>
      </c>
    </row>
    <row r="31" customFormat="false" ht="15" hidden="false" customHeight="true" outlineLevel="0" collapsed="false">
      <c r="F31" s="33" t="str">
        <f aca="false">IF($C31="","",$B$4-$C31)</f>
        <v/>
      </c>
      <c r="G31" s="9" t="str">
        <f aca="false">IF($F31="","",IF($F31&gt;Inputs!$C$9,"Aged",""))</f>
        <v/>
      </c>
    </row>
    <row r="32" customFormat="false" ht="15" hidden="false" customHeight="true" outlineLevel="0" collapsed="false">
      <c r="F32" s="33" t="str">
        <f aca="false">IF($C32="","",$B$4-$C32)</f>
        <v/>
      </c>
      <c r="G32" s="9" t="str">
        <f aca="false">IF($F32="","",IF($F32&gt;Inputs!$C$9,"Aged",""))</f>
        <v/>
      </c>
    </row>
    <row r="33" customFormat="false" ht="15" hidden="false" customHeight="true" outlineLevel="0" collapsed="false">
      <c r="F33" s="33" t="str">
        <f aca="false">IF($C33="","",$B$4-$C33)</f>
        <v/>
      </c>
      <c r="G33" s="9" t="str">
        <f aca="false">IF($F33="","",IF($F33&gt;Inputs!$C$9,"Aged",""))</f>
        <v/>
      </c>
    </row>
    <row r="34" customFormat="false" ht="15" hidden="false" customHeight="true" outlineLevel="0" collapsed="false">
      <c r="F34" s="33" t="str">
        <f aca="false">IF($C34="","",$B$4-$C34)</f>
        <v/>
      </c>
      <c r="G34" s="9" t="str">
        <f aca="false">IF($F34="","",IF($F34&gt;Inputs!$C$9,"Aged",""))</f>
        <v/>
      </c>
    </row>
    <row r="35" customFormat="false" ht="15" hidden="false" customHeight="true" outlineLevel="0" collapsed="false">
      <c r="F35" s="33" t="str">
        <f aca="false">IF($C35="","",$B$4-$C35)</f>
        <v/>
      </c>
      <c r="G35" s="9" t="str">
        <f aca="false">IF($F35="","",IF($F35&gt;Inputs!$C$9,"Aged",""))</f>
        <v/>
      </c>
    </row>
    <row r="36" customFormat="false" ht="15" hidden="false" customHeight="true" outlineLevel="0" collapsed="false">
      <c r="F36" s="33" t="str">
        <f aca="false">IF($C36="","",$B$4-$C36)</f>
        <v/>
      </c>
      <c r="G36" s="9" t="str">
        <f aca="false">IF($F36="","",IF($F36&gt;Inputs!$C$9,"Aged",""))</f>
        <v/>
      </c>
    </row>
    <row r="37" customFormat="false" ht="15" hidden="false" customHeight="true" outlineLevel="0" collapsed="false">
      <c r="F37" s="33" t="str">
        <f aca="false">IF($C37="","",$B$4-$C37)</f>
        <v/>
      </c>
      <c r="G37" s="9" t="str">
        <f aca="false">IF($F37="","",IF($F37&gt;Inputs!$C$9,"Aged",""))</f>
        <v/>
      </c>
    </row>
    <row r="38" customFormat="false" ht="15" hidden="false" customHeight="true" outlineLevel="0" collapsed="false">
      <c r="F38" s="33" t="str">
        <f aca="false">IF($C38="","",$B$4-$C38)</f>
        <v/>
      </c>
      <c r="G38" s="9" t="str">
        <f aca="false">IF($F38="","",IF($F38&gt;Inputs!$C$9,"Aged",""))</f>
        <v/>
      </c>
    </row>
    <row r="39" customFormat="false" ht="15" hidden="false" customHeight="true" outlineLevel="0" collapsed="false">
      <c r="F39" s="33" t="str">
        <f aca="false">IF($C39="","",$B$4-$C39)</f>
        <v/>
      </c>
      <c r="G39" s="9" t="str">
        <f aca="false">IF($F39="","",IF($F39&gt;Inputs!$C$9,"Aged",""))</f>
        <v/>
      </c>
    </row>
    <row r="40" customFormat="false" ht="15" hidden="false" customHeight="true" outlineLevel="0" collapsed="false">
      <c r="F40" s="33" t="str">
        <f aca="false">IF($C40="","",$B$4-$C40)</f>
        <v/>
      </c>
      <c r="G40" s="9" t="str">
        <f aca="false">IF($F40="","",IF($F40&gt;Inputs!$C$9,"Aged",""))</f>
        <v/>
      </c>
    </row>
    <row r="41" customFormat="false" ht="15" hidden="false" customHeight="true" outlineLevel="0" collapsed="false">
      <c r="F41" s="33" t="str">
        <f aca="false">IF($C41="","",$B$4-$C41)</f>
        <v/>
      </c>
      <c r="G41" s="9" t="str">
        <f aca="false">IF($F41="","",IF($F41&gt;Inputs!$C$9,"Aged",""))</f>
        <v/>
      </c>
    </row>
    <row r="44" customFormat="false" ht="15" hidden="false" customHeight="true" outlineLevel="0" collapsed="false">
      <c r="A44" s="4" t="s">
        <v>279</v>
      </c>
    </row>
    <row r="45" customFormat="false" ht="15" hidden="false" customHeight="true" outlineLevel="0" collapsed="false">
      <c r="A45" s="8" t="s">
        <v>71</v>
      </c>
      <c r="B45" s="9" t="str">
        <f aca="false">Inputs!$C$6</f>
        <v>Bhagyashree Amblimath</v>
      </c>
      <c r="C45" s="19" t="n">
        <v>46300</v>
      </c>
    </row>
    <row r="46" customFormat="false" ht="15" hidden="false" customHeight="true" outlineLevel="0" collapsed="false">
      <c r="A46" s="8" t="s">
        <v>74</v>
      </c>
      <c r="B46" s="9" t="str">
        <f aca="false">Inputs!$C$7</f>
        <v>Financial Controller (simulated)</v>
      </c>
      <c r="C46" s="34"/>
      <c r="D46" s="3" t="s">
        <v>280</v>
      </c>
    </row>
    <row r="48" customFormat="false" ht="15" hidden="false" customHeight="true" outlineLevel="0" collapsed="false">
      <c r="A48" s="3" t="s">
        <v>281</v>
      </c>
    </row>
  </sheetData>
  <conditionalFormatting sqref="E18">
    <cfRule type="expression" priority="2" aboveAverage="0" equalAverage="0" bottom="0" percent="0" rank="0" text="" dxfId="0">
      <formula>$E$18="RECONCILED"</formula>
    </cfRule>
    <cfRule type="expression" priority="3" aboveAverage="0" equalAverage="0" bottom="0" percent="0" rank="0" text="" dxfId="1">
      <formula>$E$18="INVESTIGATE"</formula>
    </cfRule>
  </conditionalFormatting>
  <conditionalFormatting sqref="G22:G41">
    <cfRule type="cellIs" priority="4" operator="equal" aboveAverage="0" equalAverage="0" bottom="0" percent="0" rank="0" text="" dxfId="5">
      <formula>"Aged"</formula>
    </cfRule>
  </conditionalFormatting>
  <dataValidations count="1">
    <dataValidation allowBlank="true" errorStyle="stop" operator="between" showDropDown="false" showErrorMessage="false" showInputMessage="false" sqref="E22:E41" type="list">
      <formula1>"Timing,GL adjustment"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321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243</v>
      </c>
      <c r="B4" s="11" t="n">
        <f aca="false">Inputs!$C$5</f>
        <v>46295</v>
      </c>
    </row>
    <row r="5" customFormat="false" ht="15" hidden="false" customHeight="true" outlineLevel="0" collapsed="false">
      <c r="A5" s="4" t="s">
        <v>244</v>
      </c>
      <c r="B5" s="31" t="n">
        <v>2300</v>
      </c>
      <c r="C5" s="9" t="str">
        <f aca="false">INDEX(CoA!$B$6:$B$46,MATCH($B5,CoA!$A$6:$A$46,0))</f>
        <v>GST collected</v>
      </c>
    </row>
    <row r="6" customFormat="false" ht="15" hidden="false" customHeight="true" outlineLevel="0" collapsed="false">
      <c r="A6" s="4" t="s">
        <v>245</v>
      </c>
      <c r="B6" s="31" t="n">
        <v>2310</v>
      </c>
      <c r="C6" s="9" t="str">
        <f aca="false">INDEX(CoA!$B$6:$B$46,MATCH($B6,CoA!$A$6:$A$46,0))</f>
        <v>GST paid (input tax credits)</v>
      </c>
    </row>
    <row r="7" customFormat="false" ht="15" hidden="false" customHeight="true" outlineLevel="0" collapsed="false">
      <c r="A7" s="4" t="s">
        <v>246</v>
      </c>
    </row>
    <row r="8" customFormat="false" ht="15" hidden="false" customHeight="true" outlineLevel="0" collapsed="false">
      <c r="A8" s="4" t="s">
        <v>247</v>
      </c>
      <c r="B8" s="31" t="n">
        <v>-1</v>
      </c>
    </row>
    <row r="10" customFormat="false" ht="15" hidden="false" customHeight="true" outlineLevel="0" collapsed="false">
      <c r="A10" s="4" t="s">
        <v>248</v>
      </c>
      <c r="D10" s="12" t="n">
        <f aca="false">$B$8*(IF($B$5="",0,SUMIF(TB!$A$6:$A$46,$B$5,TB!$F$6:$F$46))+IF($B$6="",0,SUMIF(TB!$A$6:$A$46,$B$6,TB!$F$6:$F$46))+IF($B$7="",0,SUMIF(TB!$A$6:$A$46,$B$7,TB!$F$6:$F$46)))</f>
        <v>2665000</v>
      </c>
    </row>
    <row r="11" customFormat="false" ht="15" hidden="false" customHeight="true" outlineLevel="0" collapsed="false">
      <c r="A11" s="8" t="s">
        <v>249</v>
      </c>
      <c r="D11" s="21" t="n">
        <f aca="false">SUMIF($E$22:$E$41,"GL adjustment",$D$22:$D$41)</f>
        <v>-8420</v>
      </c>
    </row>
    <row r="12" customFormat="false" ht="15" hidden="false" customHeight="true" outlineLevel="0" collapsed="false">
      <c r="A12" s="4" t="s">
        <v>250</v>
      </c>
      <c r="D12" s="22" t="n">
        <f aca="false">D10+D11</f>
        <v>2656580</v>
      </c>
    </row>
    <row r="14" customFormat="false" ht="15" hidden="false" customHeight="true" outlineLevel="0" collapsed="false">
      <c r="A14" s="4" t="s">
        <v>251</v>
      </c>
      <c r="B14" s="7" t="s">
        <v>322</v>
      </c>
      <c r="D14" s="12" t="n">
        <f aca="false">BAS_IAS!D23</f>
        <v>2642280</v>
      </c>
    </row>
    <row r="15" customFormat="false" ht="15" hidden="false" customHeight="true" outlineLevel="0" collapsed="false">
      <c r="A15" s="8" t="s">
        <v>253</v>
      </c>
      <c r="D15" s="21" t="n">
        <f aca="false">SUMIF($E$22:$E$41,"Timing",$D$22:$D$41)</f>
        <v>14300</v>
      </c>
    </row>
    <row r="16" customFormat="false" ht="15" hidden="false" customHeight="true" outlineLevel="0" collapsed="false">
      <c r="A16" s="4" t="s">
        <v>254</v>
      </c>
      <c r="D16" s="22" t="n">
        <f aca="false">D14+D15</f>
        <v>2656580</v>
      </c>
    </row>
    <row r="18" customFormat="false" ht="15" hidden="false" customHeight="true" outlineLevel="0" collapsed="false">
      <c r="A18" s="4" t="s">
        <v>255</v>
      </c>
      <c r="D18" s="32" t="n">
        <f aca="false">ROUND(D12-D16,2)</f>
        <v>0</v>
      </c>
      <c r="E18" s="27" t="str">
        <f aca="false">IF(ABS(D18)&lt;=Inputs!$C$12,"RECONCILED","INVESTIGATE")</f>
        <v>RECONCILED</v>
      </c>
    </row>
    <row r="19" customFormat="false" ht="15" hidden="false" customHeight="true" outlineLevel="0" collapsed="false">
      <c r="A19" s="8" t="s">
        <v>256</v>
      </c>
      <c r="D19" s="33" t="n">
        <f aca="false">COUNTIF($G$22:$G$41,"Aged")</f>
        <v>0</v>
      </c>
    </row>
    <row r="21" customFormat="false" ht="15" hidden="false" customHeight="true" outlineLevel="0" collapsed="false">
      <c r="A21" s="6" t="s">
        <v>257</v>
      </c>
      <c r="B21" s="6" t="s">
        <v>258</v>
      </c>
      <c r="C21" s="6" t="s">
        <v>259</v>
      </c>
      <c r="D21" s="6" t="s">
        <v>260</v>
      </c>
      <c r="E21" s="6" t="s">
        <v>91</v>
      </c>
      <c r="F21" s="6" t="s">
        <v>261</v>
      </c>
      <c r="G21" s="6" t="s">
        <v>262</v>
      </c>
      <c r="H21" s="6" t="s">
        <v>263</v>
      </c>
      <c r="I21" s="6" t="s">
        <v>264</v>
      </c>
    </row>
    <row r="22" customFormat="false" ht="15" hidden="false" customHeight="true" outlineLevel="0" collapsed="false">
      <c r="A22" s="7" t="s">
        <v>323</v>
      </c>
      <c r="B22" s="7" t="s">
        <v>324</v>
      </c>
      <c r="C22" s="19" t="n">
        <v>46295</v>
      </c>
      <c r="D22" s="20" t="n">
        <v>-8420</v>
      </c>
      <c r="E22" s="7" t="s">
        <v>267</v>
      </c>
      <c r="F22" s="33" t="n">
        <f aca="false">IF($C22="","",$B$4-$C22)</f>
        <v>0</v>
      </c>
      <c r="G22" s="9" t="str">
        <f aca="false">IF($F22="","",IF($F22&gt;Inputs!$C$9,"Aged",""))</f>
        <v/>
      </c>
      <c r="H22" s="7" t="s">
        <v>325</v>
      </c>
      <c r="I22" s="19" t="n">
        <v>46297</v>
      </c>
    </row>
    <row r="23" customFormat="false" ht="15" hidden="false" customHeight="true" outlineLevel="0" collapsed="false">
      <c r="A23" s="7" t="s">
        <v>326</v>
      </c>
      <c r="B23" s="7" t="s">
        <v>327</v>
      </c>
      <c r="C23" s="19" t="n">
        <v>46295</v>
      </c>
      <c r="D23" s="20" t="n">
        <v>14300</v>
      </c>
      <c r="E23" s="7" t="s">
        <v>271</v>
      </c>
      <c r="F23" s="33" t="n">
        <f aca="false">IF($C23="","",$B$4-$C23)</f>
        <v>0</v>
      </c>
      <c r="G23" s="9" t="str">
        <f aca="false">IF($F23="","",IF($F23&gt;Inputs!$C$9,"Aged",""))</f>
        <v/>
      </c>
      <c r="H23" s="7" t="s">
        <v>328</v>
      </c>
      <c r="I23" s="19" t="n">
        <v>46300</v>
      </c>
    </row>
    <row r="24" customFormat="false" ht="15" hidden="false" customHeight="true" outlineLevel="0" collapsed="false">
      <c r="F24" s="33" t="str">
        <f aca="false">IF($C24="","",$B$4-$C24)</f>
        <v/>
      </c>
      <c r="G24" s="9" t="str">
        <f aca="false">IF($F24="","",IF($F24&gt;Inputs!$C$9,"Aged",""))</f>
        <v/>
      </c>
    </row>
    <row r="25" customFormat="false" ht="15" hidden="false" customHeight="true" outlineLevel="0" collapsed="false">
      <c r="F25" s="33" t="str">
        <f aca="false">IF($C25="","",$B$4-$C25)</f>
        <v/>
      </c>
      <c r="G25" s="9" t="str">
        <f aca="false">IF($F25="","",IF($F25&gt;Inputs!$C$9,"Aged",""))</f>
        <v/>
      </c>
    </row>
    <row r="26" customFormat="false" ht="15" hidden="false" customHeight="true" outlineLevel="0" collapsed="false">
      <c r="F26" s="33" t="str">
        <f aca="false">IF($C26="","",$B$4-$C26)</f>
        <v/>
      </c>
      <c r="G26" s="9" t="str">
        <f aca="false">IF($F26="","",IF($F26&gt;Inputs!$C$9,"Aged",""))</f>
        <v/>
      </c>
    </row>
    <row r="27" customFormat="false" ht="15" hidden="false" customHeight="true" outlineLevel="0" collapsed="false">
      <c r="F27" s="33" t="str">
        <f aca="false">IF($C27="","",$B$4-$C27)</f>
        <v/>
      </c>
      <c r="G27" s="9" t="str">
        <f aca="false">IF($F27="","",IF($F27&gt;Inputs!$C$9,"Aged",""))</f>
        <v/>
      </c>
    </row>
    <row r="28" customFormat="false" ht="15" hidden="false" customHeight="true" outlineLevel="0" collapsed="false">
      <c r="F28" s="33" t="str">
        <f aca="false">IF($C28="","",$B$4-$C28)</f>
        <v/>
      </c>
      <c r="G28" s="9" t="str">
        <f aca="false">IF($F28="","",IF($F28&gt;Inputs!$C$9,"Aged",""))</f>
        <v/>
      </c>
    </row>
    <row r="29" customFormat="false" ht="15" hidden="false" customHeight="true" outlineLevel="0" collapsed="false">
      <c r="F29" s="33" t="str">
        <f aca="false">IF($C29="","",$B$4-$C29)</f>
        <v/>
      </c>
      <c r="G29" s="9" t="str">
        <f aca="false">IF($F29="","",IF($F29&gt;Inputs!$C$9,"Aged",""))</f>
        <v/>
      </c>
    </row>
    <row r="30" customFormat="false" ht="15" hidden="false" customHeight="true" outlineLevel="0" collapsed="false">
      <c r="F30" s="33" t="str">
        <f aca="false">IF($C30="","",$B$4-$C30)</f>
        <v/>
      </c>
      <c r="G30" s="9" t="str">
        <f aca="false">IF($F30="","",IF($F30&gt;Inputs!$C$9,"Aged",""))</f>
        <v/>
      </c>
    </row>
    <row r="31" customFormat="false" ht="15" hidden="false" customHeight="true" outlineLevel="0" collapsed="false">
      <c r="F31" s="33" t="str">
        <f aca="false">IF($C31="","",$B$4-$C31)</f>
        <v/>
      </c>
      <c r="G31" s="9" t="str">
        <f aca="false">IF($F31="","",IF($F31&gt;Inputs!$C$9,"Aged",""))</f>
        <v/>
      </c>
    </row>
    <row r="32" customFormat="false" ht="15" hidden="false" customHeight="true" outlineLevel="0" collapsed="false">
      <c r="F32" s="33" t="str">
        <f aca="false">IF($C32="","",$B$4-$C32)</f>
        <v/>
      </c>
      <c r="G32" s="9" t="str">
        <f aca="false">IF($F32="","",IF($F32&gt;Inputs!$C$9,"Aged",""))</f>
        <v/>
      </c>
    </row>
    <row r="33" customFormat="false" ht="15" hidden="false" customHeight="true" outlineLevel="0" collapsed="false">
      <c r="F33" s="33" t="str">
        <f aca="false">IF($C33="","",$B$4-$C33)</f>
        <v/>
      </c>
      <c r="G33" s="9" t="str">
        <f aca="false">IF($F33="","",IF($F33&gt;Inputs!$C$9,"Aged",""))</f>
        <v/>
      </c>
    </row>
    <row r="34" customFormat="false" ht="15" hidden="false" customHeight="true" outlineLevel="0" collapsed="false">
      <c r="F34" s="33" t="str">
        <f aca="false">IF($C34="","",$B$4-$C34)</f>
        <v/>
      </c>
      <c r="G34" s="9" t="str">
        <f aca="false">IF($F34="","",IF($F34&gt;Inputs!$C$9,"Aged",""))</f>
        <v/>
      </c>
    </row>
    <row r="35" customFormat="false" ht="15" hidden="false" customHeight="true" outlineLevel="0" collapsed="false">
      <c r="F35" s="33" t="str">
        <f aca="false">IF($C35="","",$B$4-$C35)</f>
        <v/>
      </c>
      <c r="G35" s="9" t="str">
        <f aca="false">IF($F35="","",IF($F35&gt;Inputs!$C$9,"Aged",""))</f>
        <v/>
      </c>
    </row>
    <row r="36" customFormat="false" ht="15" hidden="false" customHeight="true" outlineLevel="0" collapsed="false">
      <c r="F36" s="33" t="str">
        <f aca="false">IF($C36="","",$B$4-$C36)</f>
        <v/>
      </c>
      <c r="G36" s="9" t="str">
        <f aca="false">IF($F36="","",IF($F36&gt;Inputs!$C$9,"Aged",""))</f>
        <v/>
      </c>
    </row>
    <row r="37" customFormat="false" ht="15" hidden="false" customHeight="true" outlineLevel="0" collapsed="false">
      <c r="F37" s="33" t="str">
        <f aca="false">IF($C37="","",$B$4-$C37)</f>
        <v/>
      </c>
      <c r="G37" s="9" t="str">
        <f aca="false">IF($F37="","",IF($F37&gt;Inputs!$C$9,"Aged",""))</f>
        <v/>
      </c>
    </row>
    <row r="38" customFormat="false" ht="15" hidden="false" customHeight="true" outlineLevel="0" collapsed="false">
      <c r="F38" s="33" t="str">
        <f aca="false">IF($C38="","",$B$4-$C38)</f>
        <v/>
      </c>
      <c r="G38" s="9" t="str">
        <f aca="false">IF($F38="","",IF($F38&gt;Inputs!$C$9,"Aged",""))</f>
        <v/>
      </c>
    </row>
    <row r="39" customFormat="false" ht="15" hidden="false" customHeight="true" outlineLevel="0" collapsed="false">
      <c r="F39" s="33" t="str">
        <f aca="false">IF($C39="","",$B$4-$C39)</f>
        <v/>
      </c>
      <c r="G39" s="9" t="str">
        <f aca="false">IF($F39="","",IF($F39&gt;Inputs!$C$9,"Aged",""))</f>
        <v/>
      </c>
    </row>
    <row r="40" customFormat="false" ht="15" hidden="false" customHeight="true" outlineLevel="0" collapsed="false">
      <c r="F40" s="33" t="str">
        <f aca="false">IF($C40="","",$B$4-$C40)</f>
        <v/>
      </c>
      <c r="G40" s="9" t="str">
        <f aca="false">IF($F40="","",IF($F40&gt;Inputs!$C$9,"Aged",""))</f>
        <v/>
      </c>
    </row>
    <row r="41" customFormat="false" ht="15" hidden="false" customHeight="true" outlineLevel="0" collapsed="false">
      <c r="F41" s="33" t="str">
        <f aca="false">IF($C41="","",$B$4-$C41)</f>
        <v/>
      </c>
      <c r="G41" s="9" t="str">
        <f aca="false">IF($F41="","",IF($F41&gt;Inputs!$C$9,"Aged",""))</f>
        <v/>
      </c>
    </row>
    <row r="44" customFormat="false" ht="15" hidden="false" customHeight="true" outlineLevel="0" collapsed="false">
      <c r="A44" s="4" t="s">
        <v>279</v>
      </c>
    </row>
    <row r="45" customFormat="false" ht="15" hidden="false" customHeight="true" outlineLevel="0" collapsed="false">
      <c r="A45" s="8" t="s">
        <v>71</v>
      </c>
      <c r="B45" s="9" t="str">
        <f aca="false">Inputs!$C$6</f>
        <v>Bhagyashree Amblimath</v>
      </c>
      <c r="C45" s="19" t="n">
        <v>46300</v>
      </c>
    </row>
    <row r="46" customFormat="false" ht="15" hidden="false" customHeight="true" outlineLevel="0" collapsed="false">
      <c r="A46" s="8" t="s">
        <v>74</v>
      </c>
      <c r="B46" s="9" t="str">
        <f aca="false">Inputs!$C$7</f>
        <v>Financial Controller (simulated)</v>
      </c>
      <c r="C46" s="34"/>
      <c r="D46" s="3" t="s">
        <v>280</v>
      </c>
    </row>
    <row r="48" customFormat="false" ht="15" hidden="false" customHeight="true" outlineLevel="0" collapsed="false">
      <c r="A48" s="3" t="s">
        <v>281</v>
      </c>
    </row>
  </sheetData>
  <conditionalFormatting sqref="E18">
    <cfRule type="expression" priority="2" aboveAverage="0" equalAverage="0" bottom="0" percent="0" rank="0" text="" dxfId="0">
      <formula>$E$18="RECONCILED"</formula>
    </cfRule>
    <cfRule type="expression" priority="3" aboveAverage="0" equalAverage="0" bottom="0" percent="0" rank="0" text="" dxfId="1">
      <formula>$E$18="INVESTIGATE"</formula>
    </cfRule>
  </conditionalFormatting>
  <conditionalFormatting sqref="G22:G41">
    <cfRule type="cellIs" priority="4" operator="equal" aboveAverage="0" equalAverage="0" bottom="0" percent="0" rank="0" text="" dxfId="5">
      <formula>"Aged"</formula>
    </cfRule>
  </conditionalFormatting>
  <dataValidations count="1">
    <dataValidation allowBlank="true" errorStyle="stop" operator="between" showDropDown="false" showErrorMessage="false" showInputMessage="false" sqref="E22:E41" type="list">
      <formula1>"Timing,GL adjustment"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62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40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" t="s">
        <v>329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243</v>
      </c>
      <c r="B4" s="11" t="n">
        <f aca="false">Inputs!$C$5</f>
        <v>46295</v>
      </c>
    </row>
    <row r="5" customFormat="false" ht="15" hidden="false" customHeight="true" outlineLevel="0" collapsed="false">
      <c r="A5" s="4" t="s">
        <v>244</v>
      </c>
      <c r="B5" s="31" t="n">
        <v>2100</v>
      </c>
      <c r="C5" s="9" t="str">
        <f aca="false">INDEX(CoA!$B$6:$B$46,MATCH($B5,CoA!$A$6:$A$46,0))</f>
        <v>PAYG withholding payable</v>
      </c>
    </row>
    <row r="6" customFormat="false" ht="15" hidden="false" customHeight="true" outlineLevel="0" collapsed="false">
      <c r="A6" s="4" t="s">
        <v>245</v>
      </c>
      <c r="B6" s="31" t="n">
        <v>2110</v>
      </c>
      <c r="C6" s="9" t="str">
        <f aca="false">INDEX(CoA!$B$6:$B$46,MATCH($B6,CoA!$A$6:$A$46,0))</f>
        <v>Superannuation payable</v>
      </c>
    </row>
    <row r="7" customFormat="false" ht="15" hidden="false" customHeight="true" outlineLevel="0" collapsed="false">
      <c r="A7" s="4" t="s">
        <v>246</v>
      </c>
      <c r="B7" s="31" t="n">
        <v>2120</v>
      </c>
      <c r="C7" s="9" t="str">
        <f aca="false">INDEX(CoA!$B$6:$B$46,MATCH($B7,CoA!$A$6:$A$46,0))</f>
        <v>Accrued wages</v>
      </c>
    </row>
    <row r="8" customFormat="false" ht="15" hidden="false" customHeight="true" outlineLevel="0" collapsed="false">
      <c r="A8" s="4" t="s">
        <v>247</v>
      </c>
      <c r="B8" s="31" t="n">
        <v>-1</v>
      </c>
    </row>
    <row r="10" customFormat="false" ht="15" hidden="false" customHeight="true" outlineLevel="0" collapsed="false">
      <c r="A10" s="4" t="s">
        <v>248</v>
      </c>
      <c r="D10" s="12" t="n">
        <f aca="false">$B$8*(IF($B$5="",0,SUMIF(TB!$A$6:$A$46,$B$5,TB!$F$6:$F$46))+IF($B$6="",0,SUMIF(TB!$A$6:$A$46,$B$6,TB!$F$6:$F$46))+IF($B$7="",0,SUMIF(TB!$A$6:$A$46,$B$7,TB!$F$6:$F$46)))</f>
        <v>4595000</v>
      </c>
    </row>
    <row r="11" customFormat="false" ht="15" hidden="false" customHeight="true" outlineLevel="0" collapsed="false">
      <c r="A11" s="8" t="s">
        <v>249</v>
      </c>
      <c r="D11" s="21" t="n">
        <f aca="false">SUMIF($E$22:$E$41,"GL adjustment",$D$22:$D$41)</f>
        <v>-96000</v>
      </c>
    </row>
    <row r="12" customFormat="false" ht="15" hidden="false" customHeight="true" outlineLevel="0" collapsed="false">
      <c r="A12" s="4" t="s">
        <v>250</v>
      </c>
      <c r="D12" s="22" t="n">
        <f aca="false">D10+D11</f>
        <v>4499000</v>
      </c>
    </row>
    <row r="14" customFormat="false" ht="15" hidden="false" customHeight="true" outlineLevel="0" collapsed="false">
      <c r="A14" s="4" t="s">
        <v>251</v>
      </c>
      <c r="B14" s="7" t="s">
        <v>330</v>
      </c>
      <c r="D14" s="20" t="n">
        <v>4454000</v>
      </c>
    </row>
    <row r="15" customFormat="false" ht="15" hidden="false" customHeight="true" outlineLevel="0" collapsed="false">
      <c r="A15" s="8" t="s">
        <v>253</v>
      </c>
      <c r="D15" s="21" t="n">
        <f aca="false">SUMIF($E$22:$E$41,"Timing",$D$22:$D$41)</f>
        <v>45000</v>
      </c>
    </row>
    <row r="16" customFormat="false" ht="15" hidden="false" customHeight="true" outlineLevel="0" collapsed="false">
      <c r="A16" s="4" t="s">
        <v>254</v>
      </c>
      <c r="D16" s="22" t="n">
        <f aca="false">D14+D15</f>
        <v>4499000</v>
      </c>
    </row>
    <row r="18" customFormat="false" ht="15" hidden="false" customHeight="true" outlineLevel="0" collapsed="false">
      <c r="A18" s="4" t="s">
        <v>255</v>
      </c>
      <c r="D18" s="32" t="n">
        <f aca="false">ROUND(D12-D16,2)</f>
        <v>0</v>
      </c>
      <c r="E18" s="27" t="str">
        <f aca="false">IF(ABS(D18)&lt;=Inputs!$C$12,"RECONCILED","INVESTIGATE")</f>
        <v>RECONCILED</v>
      </c>
    </row>
    <row r="19" customFormat="false" ht="15" hidden="false" customHeight="true" outlineLevel="0" collapsed="false">
      <c r="A19" s="8" t="s">
        <v>256</v>
      </c>
      <c r="D19" s="33" t="n">
        <f aca="false">COUNTIF($G$22:$G$41,"Aged")</f>
        <v>0</v>
      </c>
    </row>
    <row r="21" customFormat="false" ht="15" hidden="false" customHeight="true" outlineLevel="0" collapsed="false">
      <c r="A21" s="6" t="s">
        <v>257</v>
      </c>
      <c r="B21" s="6" t="s">
        <v>258</v>
      </c>
      <c r="C21" s="6" t="s">
        <v>259</v>
      </c>
      <c r="D21" s="6" t="s">
        <v>260</v>
      </c>
      <c r="E21" s="6" t="s">
        <v>91</v>
      </c>
      <c r="F21" s="6" t="s">
        <v>261</v>
      </c>
      <c r="G21" s="6" t="s">
        <v>262</v>
      </c>
      <c r="H21" s="6" t="s">
        <v>263</v>
      </c>
      <c r="I21" s="6" t="s">
        <v>264</v>
      </c>
    </row>
    <row r="22" customFormat="false" ht="15" hidden="false" customHeight="true" outlineLevel="0" collapsed="false">
      <c r="A22" s="7" t="s">
        <v>331</v>
      </c>
      <c r="B22" s="7" t="s">
        <v>332</v>
      </c>
      <c r="C22" s="19" t="n">
        <v>46294</v>
      </c>
      <c r="D22" s="20" t="n">
        <v>-96000</v>
      </c>
      <c r="E22" s="7" t="s">
        <v>267</v>
      </c>
      <c r="F22" s="33" t="n">
        <f aca="false">IF($C22="","",$B$4-$C22)</f>
        <v>1</v>
      </c>
      <c r="G22" s="9" t="str">
        <f aca="false">IF($F22="","",IF($F22&gt;Inputs!$C$9,"Aged",""))</f>
        <v/>
      </c>
      <c r="H22" s="7" t="s">
        <v>333</v>
      </c>
      <c r="I22" s="19" t="n">
        <v>46297</v>
      </c>
    </row>
    <row r="23" customFormat="false" ht="15" hidden="false" customHeight="true" outlineLevel="0" collapsed="false">
      <c r="A23" s="7" t="s">
        <v>334</v>
      </c>
      <c r="B23" s="7" t="s">
        <v>335</v>
      </c>
      <c r="C23" s="19" t="n">
        <v>46295</v>
      </c>
      <c r="D23" s="20" t="n">
        <v>45000</v>
      </c>
      <c r="E23" s="7" t="s">
        <v>271</v>
      </c>
      <c r="F23" s="33" t="n">
        <f aca="false">IF($C23="","",$B$4-$C23)</f>
        <v>0</v>
      </c>
      <c r="G23" s="9" t="str">
        <f aca="false">IF($F23="","",IF($F23&gt;Inputs!$C$9,"Aged",""))</f>
        <v/>
      </c>
      <c r="H23" s="7" t="s">
        <v>336</v>
      </c>
      <c r="I23" s="19" t="n">
        <v>46297</v>
      </c>
    </row>
    <row r="24" customFormat="false" ht="15" hidden="false" customHeight="true" outlineLevel="0" collapsed="false">
      <c r="F24" s="33" t="str">
        <f aca="false">IF($C24="","",$B$4-$C24)</f>
        <v/>
      </c>
      <c r="G24" s="9" t="str">
        <f aca="false">IF($F24="","",IF($F24&gt;Inputs!$C$9,"Aged",""))</f>
        <v/>
      </c>
    </row>
    <row r="25" customFormat="false" ht="15" hidden="false" customHeight="true" outlineLevel="0" collapsed="false">
      <c r="F25" s="33" t="str">
        <f aca="false">IF($C25="","",$B$4-$C25)</f>
        <v/>
      </c>
      <c r="G25" s="9" t="str">
        <f aca="false">IF($F25="","",IF($F25&gt;Inputs!$C$9,"Aged",""))</f>
        <v/>
      </c>
    </row>
    <row r="26" customFormat="false" ht="15" hidden="false" customHeight="true" outlineLevel="0" collapsed="false">
      <c r="F26" s="33" t="str">
        <f aca="false">IF($C26="","",$B$4-$C26)</f>
        <v/>
      </c>
      <c r="G26" s="9" t="str">
        <f aca="false">IF($F26="","",IF($F26&gt;Inputs!$C$9,"Aged",""))</f>
        <v/>
      </c>
    </row>
    <row r="27" customFormat="false" ht="15" hidden="false" customHeight="true" outlineLevel="0" collapsed="false">
      <c r="F27" s="33" t="str">
        <f aca="false">IF($C27="","",$B$4-$C27)</f>
        <v/>
      </c>
      <c r="G27" s="9" t="str">
        <f aca="false">IF($F27="","",IF($F27&gt;Inputs!$C$9,"Aged",""))</f>
        <v/>
      </c>
    </row>
    <row r="28" customFormat="false" ht="15" hidden="false" customHeight="true" outlineLevel="0" collapsed="false">
      <c r="F28" s="33" t="str">
        <f aca="false">IF($C28="","",$B$4-$C28)</f>
        <v/>
      </c>
      <c r="G28" s="9" t="str">
        <f aca="false">IF($F28="","",IF($F28&gt;Inputs!$C$9,"Aged",""))</f>
        <v/>
      </c>
    </row>
    <row r="29" customFormat="false" ht="15" hidden="false" customHeight="true" outlineLevel="0" collapsed="false">
      <c r="F29" s="33" t="str">
        <f aca="false">IF($C29="","",$B$4-$C29)</f>
        <v/>
      </c>
      <c r="G29" s="9" t="str">
        <f aca="false">IF($F29="","",IF($F29&gt;Inputs!$C$9,"Aged",""))</f>
        <v/>
      </c>
    </row>
    <row r="30" customFormat="false" ht="15" hidden="false" customHeight="true" outlineLevel="0" collapsed="false">
      <c r="F30" s="33" t="str">
        <f aca="false">IF($C30="","",$B$4-$C30)</f>
        <v/>
      </c>
      <c r="G30" s="9" t="str">
        <f aca="false">IF($F30="","",IF($F30&gt;Inputs!$C$9,"Aged",""))</f>
        <v/>
      </c>
    </row>
    <row r="31" customFormat="false" ht="15" hidden="false" customHeight="true" outlineLevel="0" collapsed="false">
      <c r="F31" s="33" t="str">
        <f aca="false">IF($C31="","",$B$4-$C31)</f>
        <v/>
      </c>
      <c r="G31" s="9" t="str">
        <f aca="false">IF($F31="","",IF($F31&gt;Inputs!$C$9,"Aged",""))</f>
        <v/>
      </c>
    </row>
    <row r="32" customFormat="false" ht="15" hidden="false" customHeight="true" outlineLevel="0" collapsed="false">
      <c r="F32" s="33" t="str">
        <f aca="false">IF($C32="","",$B$4-$C32)</f>
        <v/>
      </c>
      <c r="G32" s="9" t="str">
        <f aca="false">IF($F32="","",IF($F32&gt;Inputs!$C$9,"Aged",""))</f>
        <v/>
      </c>
    </row>
    <row r="33" customFormat="false" ht="15" hidden="false" customHeight="true" outlineLevel="0" collapsed="false">
      <c r="F33" s="33" t="str">
        <f aca="false">IF($C33="","",$B$4-$C33)</f>
        <v/>
      </c>
      <c r="G33" s="9" t="str">
        <f aca="false">IF($F33="","",IF($F33&gt;Inputs!$C$9,"Aged",""))</f>
        <v/>
      </c>
    </row>
    <row r="34" customFormat="false" ht="15" hidden="false" customHeight="true" outlineLevel="0" collapsed="false">
      <c r="F34" s="33" t="str">
        <f aca="false">IF($C34="","",$B$4-$C34)</f>
        <v/>
      </c>
      <c r="G34" s="9" t="str">
        <f aca="false">IF($F34="","",IF($F34&gt;Inputs!$C$9,"Aged",""))</f>
        <v/>
      </c>
    </row>
    <row r="35" customFormat="false" ht="15" hidden="false" customHeight="true" outlineLevel="0" collapsed="false">
      <c r="F35" s="33" t="str">
        <f aca="false">IF($C35="","",$B$4-$C35)</f>
        <v/>
      </c>
      <c r="G35" s="9" t="str">
        <f aca="false">IF($F35="","",IF($F35&gt;Inputs!$C$9,"Aged",""))</f>
        <v/>
      </c>
    </row>
    <row r="36" customFormat="false" ht="15" hidden="false" customHeight="true" outlineLevel="0" collapsed="false">
      <c r="F36" s="33" t="str">
        <f aca="false">IF($C36="","",$B$4-$C36)</f>
        <v/>
      </c>
      <c r="G36" s="9" t="str">
        <f aca="false">IF($F36="","",IF($F36&gt;Inputs!$C$9,"Aged",""))</f>
        <v/>
      </c>
    </row>
    <row r="37" customFormat="false" ht="15" hidden="false" customHeight="true" outlineLevel="0" collapsed="false">
      <c r="F37" s="33" t="str">
        <f aca="false">IF($C37="","",$B$4-$C37)</f>
        <v/>
      </c>
      <c r="G37" s="9" t="str">
        <f aca="false">IF($F37="","",IF($F37&gt;Inputs!$C$9,"Aged",""))</f>
        <v/>
      </c>
    </row>
    <row r="38" customFormat="false" ht="15" hidden="false" customHeight="true" outlineLevel="0" collapsed="false">
      <c r="F38" s="33" t="str">
        <f aca="false">IF($C38="","",$B$4-$C38)</f>
        <v/>
      </c>
      <c r="G38" s="9" t="str">
        <f aca="false">IF($F38="","",IF($F38&gt;Inputs!$C$9,"Aged",""))</f>
        <v/>
      </c>
    </row>
    <row r="39" customFormat="false" ht="15" hidden="false" customHeight="true" outlineLevel="0" collapsed="false">
      <c r="F39" s="33" t="str">
        <f aca="false">IF($C39="","",$B$4-$C39)</f>
        <v/>
      </c>
      <c r="G39" s="9" t="str">
        <f aca="false">IF($F39="","",IF($F39&gt;Inputs!$C$9,"Aged",""))</f>
        <v/>
      </c>
    </row>
    <row r="40" customFormat="false" ht="15" hidden="false" customHeight="true" outlineLevel="0" collapsed="false">
      <c r="F40" s="33" t="str">
        <f aca="false">IF($C40="","",$B$4-$C40)</f>
        <v/>
      </c>
      <c r="G40" s="9" t="str">
        <f aca="false">IF($F40="","",IF($F40&gt;Inputs!$C$9,"Aged",""))</f>
        <v/>
      </c>
    </row>
    <row r="41" customFormat="false" ht="15" hidden="false" customHeight="true" outlineLevel="0" collapsed="false">
      <c r="F41" s="33" t="str">
        <f aca="false">IF($C41="","",$B$4-$C41)</f>
        <v/>
      </c>
      <c r="G41" s="9" t="str">
        <f aca="false">IF($F41="","",IF($F41&gt;Inputs!$C$9,"Aged",""))</f>
        <v/>
      </c>
    </row>
    <row r="44" customFormat="false" ht="15" hidden="false" customHeight="true" outlineLevel="0" collapsed="false">
      <c r="A44" s="4" t="s">
        <v>279</v>
      </c>
    </row>
    <row r="45" customFormat="false" ht="15" hidden="false" customHeight="true" outlineLevel="0" collapsed="false">
      <c r="A45" s="8" t="s">
        <v>71</v>
      </c>
      <c r="B45" s="9" t="str">
        <f aca="false">Inputs!$C$6</f>
        <v>Bhagyashree Amblimath</v>
      </c>
      <c r="C45" s="19" t="n">
        <v>46300</v>
      </c>
    </row>
    <row r="46" customFormat="false" ht="15" hidden="false" customHeight="true" outlineLevel="0" collapsed="false">
      <c r="A46" s="8" t="s">
        <v>74</v>
      </c>
      <c r="B46" s="9" t="str">
        <f aca="false">Inputs!$C$7</f>
        <v>Financial Controller (simulated)</v>
      </c>
      <c r="C46" s="34"/>
      <c r="D46" s="3" t="s">
        <v>280</v>
      </c>
    </row>
    <row r="48" customFormat="false" ht="15" hidden="false" customHeight="true" outlineLevel="0" collapsed="false">
      <c r="A48" s="3" t="s">
        <v>281</v>
      </c>
    </row>
  </sheetData>
  <conditionalFormatting sqref="E18">
    <cfRule type="expression" priority="2" aboveAverage="0" equalAverage="0" bottom="0" percent="0" rank="0" text="" dxfId="0">
      <formula>$E$18="RECONCILED"</formula>
    </cfRule>
    <cfRule type="expression" priority="3" aboveAverage="0" equalAverage="0" bottom="0" percent="0" rank="0" text="" dxfId="1">
      <formula>$E$18="INVESTIGATE"</formula>
    </cfRule>
  </conditionalFormatting>
  <conditionalFormatting sqref="G22:G41">
    <cfRule type="cellIs" priority="4" operator="equal" aboveAverage="0" equalAverage="0" bottom="0" percent="0" rank="0" text="" dxfId="5">
      <formula>"Aged"</formula>
    </cfRule>
  </conditionalFormatting>
  <dataValidations count="1">
    <dataValidation allowBlank="true" errorStyle="stop" operator="between" showDropDown="false" showErrorMessage="false" showInputMessage="false" sqref="E22:E41" type="list">
      <formula1>"Timing,GL adjustment"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0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337</v>
      </c>
    </row>
    <row r="2" customFormat="false" ht="15" hidden="false" customHeight="true" outlineLevel="0" collapsed="false">
      <c r="A2" s="3" t="s">
        <v>338</v>
      </c>
    </row>
    <row r="3" customFormat="false" ht="15" hidden="false" customHeight="true" outlineLevel="0" collapsed="false">
      <c r="A3" s="8" t="s">
        <v>43</v>
      </c>
      <c r="B3" s="11" t="n">
        <f aca="false">Inputs!$C$5</f>
        <v>46295</v>
      </c>
    </row>
    <row r="5" customFormat="false" ht="15" hidden="false" customHeight="true" outlineLevel="0" collapsed="false">
      <c r="A5" s="6" t="s">
        <v>89</v>
      </c>
      <c r="B5" s="6" t="s">
        <v>339</v>
      </c>
      <c r="C5" s="6" t="s">
        <v>340</v>
      </c>
      <c r="D5" s="6" t="s">
        <v>341</v>
      </c>
      <c r="E5" s="6" t="s">
        <v>342</v>
      </c>
      <c r="F5" s="6" t="s">
        <v>343</v>
      </c>
      <c r="G5" s="6" t="s">
        <v>344</v>
      </c>
      <c r="H5" s="6" t="s">
        <v>345</v>
      </c>
      <c r="I5" s="6" t="s">
        <v>346</v>
      </c>
      <c r="J5" s="6" t="s">
        <v>347</v>
      </c>
    </row>
    <row r="6" customFormat="false" ht="15" hidden="false" customHeight="true" outlineLevel="0" collapsed="false">
      <c r="A6" s="7" t="n">
        <v>4000</v>
      </c>
      <c r="B6" s="9" t="str">
        <f aca="false">INDEX(CoA!$B$6:$B$46,MATCH($A6,CoA!$A$6:$A$46,0))</f>
        <v>Sales - stores</v>
      </c>
      <c r="C6" s="12" t="n">
        <f aca="false">-INDEX(TB!$G$6:$G$46,MATCH($A6,TB!$A$6:$A$46,0))</f>
        <v>38200000</v>
      </c>
      <c r="D6" s="12" t="n">
        <f aca="false">-INDEX(TB!$H$6:$H$46,MATCH($A6,TB!$A$6:$A$46,0))</f>
        <v>37600000</v>
      </c>
      <c r="E6" s="21" t="n">
        <f aca="false">C6-D6</f>
        <v>600000</v>
      </c>
      <c r="F6" s="35" t="n">
        <f aca="false">IF(D6=0,0,E6/ABS(D6))</f>
        <v>0.0159574468085106</v>
      </c>
      <c r="G6" s="12" t="n">
        <f aca="false">-INDEX(TB!$I$6:$I$46,MATCH($A6,TB!$A$6:$A$46,0))</f>
        <v>35100000</v>
      </c>
      <c r="H6" s="35" t="n">
        <f aca="false">IF(G6=0,0,(C6-G6)/ABS(G6))</f>
        <v>0.0883190883190883</v>
      </c>
      <c r="I6" s="27" t="str">
        <f aca="false">IF(AND(ABS(E6)&gt;=Inputs!$C$10,ABS(F6)&gt;=Inputs!$C$11),"Explain","")</f>
        <v/>
      </c>
      <c r="J6" s="10"/>
    </row>
    <row r="7" customFormat="false" ht="15" hidden="false" customHeight="true" outlineLevel="0" collapsed="false">
      <c r="A7" s="7" t="n">
        <v>4010</v>
      </c>
      <c r="B7" s="9" t="str">
        <f aca="false">INDEX(CoA!$B$6:$B$46,MATCH($A7,CoA!$A$6:$A$46,0))</f>
        <v>Sales - online</v>
      </c>
      <c r="C7" s="12" t="n">
        <f aca="false">-INDEX(TB!$G$6:$G$46,MATCH($A7,TB!$A$6:$A$46,0))</f>
        <v>13900000</v>
      </c>
      <c r="D7" s="12" t="n">
        <f aca="false">-INDEX(TB!$H$6:$H$46,MATCH($A7,TB!$A$6:$A$46,0))</f>
        <v>14500000</v>
      </c>
      <c r="E7" s="21" t="n">
        <f aca="false">C7-D7</f>
        <v>-600000</v>
      </c>
      <c r="F7" s="35" t="n">
        <f aca="false">IF(D7=0,0,E7/ABS(D7))</f>
        <v>-0.0413793103448276</v>
      </c>
      <c r="G7" s="12" t="n">
        <f aca="false">-INDEX(TB!$I$6:$I$46,MATCH($A7,TB!$A$6:$A$46,0))</f>
        <v>11200000</v>
      </c>
      <c r="H7" s="35" t="n">
        <f aca="false">IF(G7=0,0,(C7-G7)/ABS(G7))</f>
        <v>0.241071428571429</v>
      </c>
      <c r="I7" s="27" t="str">
        <f aca="false">IF(AND(ABS(E7)&gt;=Inputs!$C$10,ABS(F7)&gt;=Inputs!$C$11),"Explain","")</f>
        <v/>
      </c>
      <c r="J7" s="10"/>
    </row>
    <row r="8" customFormat="false" ht="66" hidden="false" customHeight="true" outlineLevel="0" collapsed="false">
      <c r="A8" s="7" t="n">
        <v>4900</v>
      </c>
      <c r="B8" s="9" t="str">
        <f aca="false">INDEX(CoA!$B$6:$B$46,MATCH($A8,CoA!$A$6:$A$46,0))</f>
        <v>Sales returns and discounts</v>
      </c>
      <c r="C8" s="12" t="n">
        <f aca="false">-INDEX(TB!$G$6:$G$46,MATCH($A8,TB!$A$6:$A$46,0))</f>
        <v>-1950000</v>
      </c>
      <c r="D8" s="12" t="n">
        <f aca="false">-INDEX(TB!$H$6:$H$46,MATCH($A8,TB!$A$6:$A$46,0))</f>
        <v>-1800000</v>
      </c>
      <c r="E8" s="21" t="n">
        <f aca="false">C8-D8</f>
        <v>-150000</v>
      </c>
      <c r="F8" s="35" t="n">
        <f aca="false">IF(D8=0,0,E8/ABS(D8))</f>
        <v>-0.0833333333333333</v>
      </c>
      <c r="G8" s="12" t="n">
        <f aca="false">-INDEX(TB!$I$6:$I$46,MATCH($A8,TB!$A$6:$A$46,0))</f>
        <v>-1700000</v>
      </c>
      <c r="H8" s="35" t="n">
        <f aca="false">IF(G8=0,0,(C8-G8)/ABS(G8))</f>
        <v>-0.147058823529412</v>
      </c>
      <c r="I8" s="27" t="str">
        <f aca="false">IF(AND(ABS(E8)&gt;=Inputs!$C$10,ABS(F8)&gt;=Inputs!$C$11),"Explain","")</f>
        <v>Explain</v>
      </c>
      <c r="J8" s="36" t="s">
        <v>348</v>
      </c>
    </row>
    <row r="9" customFormat="false" ht="15" hidden="false" customHeight="true" outlineLevel="0" collapsed="false">
      <c r="A9" s="37"/>
      <c r="B9" s="38" t="s">
        <v>349</v>
      </c>
      <c r="C9" s="39" t="n">
        <f aca="false">SUM(C6:C8)</f>
        <v>50150000</v>
      </c>
      <c r="D9" s="39" t="n">
        <f aca="false">SUM(D6:D8)</f>
        <v>50300000</v>
      </c>
      <c r="E9" s="40" t="n">
        <f aca="false">C9-D9</f>
        <v>-150000</v>
      </c>
      <c r="F9" s="41" t="n">
        <f aca="false">IF(D9=0,0,E9/ABS(D9))</f>
        <v>-0.00298210735586481</v>
      </c>
      <c r="G9" s="39" t="n">
        <f aca="false">SUM(G6:G8)</f>
        <v>44600000</v>
      </c>
      <c r="H9" s="41" t="n">
        <f aca="false">IF(G9=0,0,(C9-G9)/ABS(G9))</f>
        <v>0.124439461883408</v>
      </c>
      <c r="I9" s="42" t="str">
        <f aca="false">IF(AND(ABS(E9)&gt;=Inputs!$C$10,ABS(F9)&gt;=Inputs!$C$11),"Explain","")</f>
        <v/>
      </c>
      <c r="J9" s="37"/>
    </row>
    <row r="10" customFormat="false" ht="15" hidden="false" customHeight="true" outlineLevel="0" collapsed="false">
      <c r="A10" s="7" t="n">
        <v>5000</v>
      </c>
      <c r="B10" s="9" t="str">
        <f aca="false">INDEX(CoA!$B$6:$B$46,MATCH($A10,CoA!$A$6:$A$46,0))</f>
        <v>Cost of goods sold</v>
      </c>
      <c r="C10" s="12" t="n">
        <f aca="false">INDEX(TB!$G$6:$G$46,MATCH($A10,TB!$A$6:$A$46,0))</f>
        <v>19600000</v>
      </c>
      <c r="D10" s="12" t="n">
        <f aca="false">INDEX(TB!$H$6:$H$46,MATCH($A10,TB!$A$6:$A$46,0))</f>
        <v>19300000</v>
      </c>
      <c r="E10" s="21" t="n">
        <f aca="false">D10-C10</f>
        <v>-300000</v>
      </c>
      <c r="F10" s="35" t="n">
        <f aca="false">IF(D10=0,0,E10/ABS(D10))</f>
        <v>-0.0155440414507772</v>
      </c>
      <c r="G10" s="12" t="n">
        <f aca="false">INDEX(TB!$I$6:$I$46,MATCH($A10,TB!$A$6:$A$46,0))</f>
        <v>18200000</v>
      </c>
      <c r="H10" s="35" t="n">
        <f aca="false">IF(G10=0,0,(G10-C10)/ABS(G10))</f>
        <v>-0.0769230769230769</v>
      </c>
      <c r="I10" s="27" t="str">
        <f aca="false">IF(AND(ABS(E10)&gt;=Inputs!$C$10,ABS(F10)&gt;=Inputs!$C$11),"Explain","")</f>
        <v/>
      </c>
      <c r="J10" s="10"/>
    </row>
    <row r="11" customFormat="false" ht="66" hidden="false" customHeight="true" outlineLevel="0" collapsed="false">
      <c r="A11" s="7" t="n">
        <v>5010</v>
      </c>
      <c r="B11" s="9" t="str">
        <f aca="false">INDEX(CoA!$B$6:$B$46,MATCH($A11,CoA!$A$6:$A$46,0))</f>
        <v>Freight inwards</v>
      </c>
      <c r="C11" s="12" t="n">
        <f aca="false">INDEX(TB!$G$6:$G$46,MATCH($A11,TB!$A$6:$A$46,0))</f>
        <v>1700000</v>
      </c>
      <c r="D11" s="12" t="n">
        <f aca="false">INDEX(TB!$H$6:$H$46,MATCH($A11,TB!$A$6:$A$46,0))</f>
        <v>1600000</v>
      </c>
      <c r="E11" s="21" t="n">
        <f aca="false">D11-C11</f>
        <v>-100000</v>
      </c>
      <c r="F11" s="35" t="n">
        <f aca="false">IF(D11=0,0,E11/ABS(D11))</f>
        <v>-0.0625</v>
      </c>
      <c r="G11" s="12" t="n">
        <f aca="false">INDEX(TB!$I$6:$I$46,MATCH($A11,TB!$A$6:$A$46,0))</f>
        <v>1450000</v>
      </c>
      <c r="H11" s="35" t="n">
        <f aca="false">IF(G11=0,0,(G11-C11)/ABS(G11))</f>
        <v>-0.172413793103448</v>
      </c>
      <c r="I11" s="27" t="str">
        <f aca="false">IF(AND(ABS(E11)&gt;=Inputs!$C$10,ABS(F11)&gt;=Inputs!$C$11),"Explain","")</f>
        <v>Explain</v>
      </c>
      <c r="J11" s="36" t="s">
        <v>350</v>
      </c>
    </row>
    <row r="12" customFormat="false" ht="66" hidden="false" customHeight="true" outlineLevel="0" collapsed="false">
      <c r="A12" s="7" t="n">
        <v>5020</v>
      </c>
      <c r="B12" s="9" t="str">
        <f aca="false">INDEX(CoA!$B$6:$B$46,MATCH($A12,CoA!$A$6:$A$46,0))</f>
        <v>Inventory shrinkage and provisions</v>
      </c>
      <c r="C12" s="12" t="n">
        <f aca="false">INDEX(TB!$G$6:$G$46,MATCH($A12,TB!$A$6:$A$46,0))</f>
        <v>420000</v>
      </c>
      <c r="D12" s="12" t="n">
        <f aca="false">INDEX(TB!$H$6:$H$46,MATCH($A12,TB!$A$6:$A$46,0))</f>
        <v>350000</v>
      </c>
      <c r="E12" s="21" t="n">
        <f aca="false">D12-C12</f>
        <v>-70000</v>
      </c>
      <c r="F12" s="35" t="n">
        <f aca="false">IF(D12=0,0,E12/ABS(D12))</f>
        <v>-0.2</v>
      </c>
      <c r="G12" s="12" t="n">
        <f aca="false">INDEX(TB!$I$6:$I$46,MATCH($A12,TB!$A$6:$A$46,0))</f>
        <v>330000</v>
      </c>
      <c r="H12" s="35" t="n">
        <f aca="false">IF(G12=0,0,(G12-C12)/ABS(G12))</f>
        <v>-0.272727272727273</v>
      </c>
      <c r="I12" s="27" t="str">
        <f aca="false">IF(AND(ABS(E12)&gt;=Inputs!$C$10,ABS(F12)&gt;=Inputs!$C$11),"Explain","")</f>
        <v/>
      </c>
      <c r="J12" s="36" t="s">
        <v>351</v>
      </c>
    </row>
    <row r="13" customFormat="false" ht="15" hidden="false" customHeight="true" outlineLevel="0" collapsed="false">
      <c r="A13" s="37"/>
      <c r="B13" s="38" t="s">
        <v>352</v>
      </c>
      <c r="C13" s="39" t="n">
        <f aca="false">SUM(C10:C12)</f>
        <v>21720000</v>
      </c>
      <c r="D13" s="39" t="n">
        <f aca="false">SUM(D10:D12)</f>
        <v>21250000</v>
      </c>
      <c r="E13" s="40" t="n">
        <f aca="false">D13-C13</f>
        <v>-470000</v>
      </c>
      <c r="F13" s="41" t="n">
        <f aca="false">IF(D13=0,0,E13/ABS(D13))</f>
        <v>-0.0221176470588235</v>
      </c>
      <c r="G13" s="39" t="n">
        <f aca="false">SUM(G10:G12)</f>
        <v>19980000</v>
      </c>
      <c r="H13" s="41" t="n">
        <f aca="false">IF(G13=0,0,(G13-C13)/ABS(G13))</f>
        <v>-0.0870870870870871</v>
      </c>
      <c r="I13" s="42" t="str">
        <f aca="false">IF(AND(ABS(E13)&gt;=Inputs!$C$10,ABS(F13)&gt;=Inputs!$C$11),"Explain","")</f>
        <v/>
      </c>
      <c r="J13" s="37"/>
    </row>
    <row r="14" customFormat="false" ht="15" hidden="false" customHeight="true" outlineLevel="0" collapsed="false">
      <c r="A14" s="37"/>
      <c r="B14" s="38" t="s">
        <v>353</v>
      </c>
      <c r="C14" s="39" t="n">
        <f aca="false">C9-C13</f>
        <v>28430000</v>
      </c>
      <c r="D14" s="39" t="n">
        <f aca="false">D9-D13</f>
        <v>29050000</v>
      </c>
      <c r="E14" s="40" t="n">
        <f aca="false">C14-D14</f>
        <v>-620000</v>
      </c>
      <c r="F14" s="41" t="n">
        <f aca="false">IF(D14=0,0,E14/ABS(D14))</f>
        <v>-0.021342512908778</v>
      </c>
      <c r="G14" s="39" t="n">
        <f aca="false">G9-G13</f>
        <v>24620000</v>
      </c>
      <c r="H14" s="41" t="n">
        <f aca="false">IF(G14=0,0,(C14-G14)/ABS(G14))</f>
        <v>0.154752233956133</v>
      </c>
      <c r="I14" s="42" t="str">
        <f aca="false">IF(AND(ABS(E14)&gt;=Inputs!$C$10,ABS(F14)&gt;=Inputs!$C$11),"Explain","")</f>
        <v/>
      </c>
      <c r="J14" s="37"/>
    </row>
    <row r="15" customFormat="false" ht="15" hidden="false" customHeight="true" outlineLevel="0" collapsed="false">
      <c r="B15" s="23" t="s">
        <v>354</v>
      </c>
      <c r="C15" s="43" t="n">
        <f aca="false">IF(C9=0,0,C14/C9)</f>
        <v>0.566899302093719</v>
      </c>
      <c r="D15" s="43" t="n">
        <f aca="false">IF(D9=0,0,D14/D9)</f>
        <v>0.577534791252485</v>
      </c>
      <c r="G15" s="43" t="n">
        <f aca="false">IF(G9=0,0,G14/G9)</f>
        <v>0.552017937219731</v>
      </c>
    </row>
    <row r="16" customFormat="false" ht="15" hidden="false" customHeight="true" outlineLevel="0" collapsed="false">
      <c r="A16" s="7" t="n">
        <v>6000</v>
      </c>
      <c r="B16" s="9" t="str">
        <f aca="false">INDEX(CoA!$B$6:$B$46,MATCH($A16,CoA!$A$6:$A$46,0))</f>
        <v>Wages and salaries - stores</v>
      </c>
      <c r="C16" s="12" t="n">
        <f aca="false">INDEX(TB!$G$6:$G$46,MATCH($A16,TB!$A$6:$A$46,0))</f>
        <v>8900000</v>
      </c>
      <c r="D16" s="12" t="n">
        <f aca="false">INDEX(TB!$H$6:$H$46,MATCH($A16,TB!$A$6:$A$46,0))</f>
        <v>8700000</v>
      </c>
      <c r="E16" s="21" t="n">
        <f aca="false">D16-C16</f>
        <v>-200000</v>
      </c>
      <c r="F16" s="35" t="n">
        <f aca="false">IF(D16=0,0,E16/ABS(D16))</f>
        <v>-0.0229885057471264</v>
      </c>
      <c r="G16" s="12" t="n">
        <f aca="false">INDEX(TB!$I$6:$I$46,MATCH($A16,TB!$A$6:$A$46,0))</f>
        <v>8100000</v>
      </c>
      <c r="H16" s="35" t="n">
        <f aca="false">IF(G16=0,0,(G16-C16)/ABS(G16))</f>
        <v>-0.0987654320987654</v>
      </c>
      <c r="I16" s="27" t="str">
        <f aca="false">IF(AND(ABS(E16)&gt;=Inputs!$C$10,ABS(F16)&gt;=Inputs!$C$11),"Explain","")</f>
        <v/>
      </c>
      <c r="J16" s="10"/>
    </row>
    <row r="17" customFormat="false" ht="15" hidden="false" customHeight="true" outlineLevel="0" collapsed="false">
      <c r="A17" s="7" t="n">
        <v>6010</v>
      </c>
      <c r="B17" s="9" t="str">
        <f aca="false">INDEX(CoA!$B$6:$B$46,MATCH($A17,CoA!$A$6:$A$46,0))</f>
        <v>Wages and salaries - head office</v>
      </c>
      <c r="C17" s="12" t="n">
        <f aca="false">INDEX(TB!$G$6:$G$46,MATCH($A17,TB!$A$6:$A$46,0))</f>
        <v>3100000</v>
      </c>
      <c r="D17" s="12" t="n">
        <f aca="false">INDEX(TB!$H$6:$H$46,MATCH($A17,TB!$A$6:$A$46,0))</f>
        <v>3050000</v>
      </c>
      <c r="E17" s="21" t="n">
        <f aca="false">D17-C17</f>
        <v>-50000</v>
      </c>
      <c r="F17" s="35" t="n">
        <f aca="false">IF(D17=0,0,E17/ABS(D17))</f>
        <v>-0.0163934426229508</v>
      </c>
      <c r="G17" s="12" t="n">
        <f aca="false">INDEX(TB!$I$6:$I$46,MATCH($A17,TB!$A$6:$A$46,0))</f>
        <v>2800000</v>
      </c>
      <c r="H17" s="35" t="n">
        <f aca="false">IF(G17=0,0,(G17-C17)/ABS(G17))</f>
        <v>-0.107142857142857</v>
      </c>
      <c r="I17" s="27" t="str">
        <f aca="false">IF(AND(ABS(E17)&gt;=Inputs!$C$10,ABS(F17)&gt;=Inputs!$C$11),"Explain","")</f>
        <v/>
      </c>
      <c r="J17" s="10"/>
    </row>
    <row r="18" customFormat="false" ht="15" hidden="false" customHeight="true" outlineLevel="0" collapsed="false">
      <c r="A18" s="7" t="n">
        <v>6020</v>
      </c>
      <c r="B18" s="9" t="str">
        <f aca="false">INDEX(CoA!$B$6:$B$46,MATCH($A18,CoA!$A$6:$A$46,0))</f>
        <v>Superannuation expense</v>
      </c>
      <c r="C18" s="12" t="n">
        <f aca="false">INDEX(TB!$G$6:$G$46,MATCH($A18,TB!$A$6:$A$46,0))</f>
        <v>1440000</v>
      </c>
      <c r="D18" s="12" t="n">
        <f aca="false">INDEX(TB!$H$6:$H$46,MATCH($A18,TB!$A$6:$A$46,0))</f>
        <v>1410000</v>
      </c>
      <c r="E18" s="21" t="n">
        <f aca="false">D18-C18</f>
        <v>-30000</v>
      </c>
      <c r="F18" s="35" t="n">
        <f aca="false">IF(D18=0,0,E18/ABS(D18))</f>
        <v>-0.0212765957446809</v>
      </c>
      <c r="G18" s="12" t="n">
        <f aca="false">INDEX(TB!$I$6:$I$46,MATCH($A18,TB!$A$6:$A$46,0))</f>
        <v>1260000</v>
      </c>
      <c r="H18" s="35" t="n">
        <f aca="false">IF(G18=0,0,(G18-C18)/ABS(G18))</f>
        <v>-0.142857142857143</v>
      </c>
      <c r="I18" s="27" t="str">
        <f aca="false">IF(AND(ABS(E18)&gt;=Inputs!$C$10,ABS(F18)&gt;=Inputs!$C$11),"Explain","")</f>
        <v/>
      </c>
      <c r="J18" s="10"/>
    </row>
    <row r="19" customFormat="false" ht="15" hidden="false" customHeight="true" outlineLevel="0" collapsed="false">
      <c r="A19" s="7" t="n">
        <v>6100</v>
      </c>
      <c r="B19" s="9" t="str">
        <f aca="false">INDEX(CoA!$B$6:$B$46,MATCH($A19,CoA!$A$6:$A$46,0))</f>
        <v>Rent and occupancy</v>
      </c>
      <c r="C19" s="12" t="n">
        <f aca="false">INDEX(TB!$G$6:$G$46,MATCH($A19,TB!$A$6:$A$46,0))</f>
        <v>4300000</v>
      </c>
      <c r="D19" s="12" t="n">
        <f aca="false">INDEX(TB!$H$6:$H$46,MATCH($A19,TB!$A$6:$A$46,0))</f>
        <v>4300000</v>
      </c>
      <c r="E19" s="21" t="n">
        <f aca="false">D19-C19</f>
        <v>0</v>
      </c>
      <c r="F19" s="35" t="n">
        <f aca="false">IF(D19=0,0,E19/ABS(D19))</f>
        <v>0</v>
      </c>
      <c r="G19" s="12" t="n">
        <f aca="false">INDEX(TB!$I$6:$I$46,MATCH($A19,TB!$A$6:$A$46,0))</f>
        <v>4050000</v>
      </c>
      <c r="H19" s="35" t="n">
        <f aca="false">IF(G19=0,0,(G19-C19)/ABS(G19))</f>
        <v>-0.0617283950617284</v>
      </c>
      <c r="I19" s="27" t="str">
        <f aca="false">IF(AND(ABS(E19)&gt;=Inputs!$C$10,ABS(F19)&gt;=Inputs!$C$11),"Explain","")</f>
        <v/>
      </c>
      <c r="J19" s="10"/>
    </row>
    <row r="20" customFormat="false" ht="66" hidden="false" customHeight="true" outlineLevel="0" collapsed="false">
      <c r="A20" s="7" t="n">
        <v>6110</v>
      </c>
      <c r="B20" s="9" t="str">
        <f aca="false">INDEX(CoA!$B$6:$B$46,MATCH($A20,CoA!$A$6:$A$46,0))</f>
        <v>Marketing</v>
      </c>
      <c r="C20" s="12" t="n">
        <f aca="false">INDEX(TB!$G$6:$G$46,MATCH($A20,TB!$A$6:$A$46,0))</f>
        <v>3350000</v>
      </c>
      <c r="D20" s="12" t="n">
        <f aca="false">INDEX(TB!$H$6:$H$46,MATCH($A20,TB!$A$6:$A$46,0))</f>
        <v>3000000</v>
      </c>
      <c r="E20" s="21" t="n">
        <f aca="false">D20-C20</f>
        <v>-350000</v>
      </c>
      <c r="F20" s="35" t="n">
        <f aca="false">IF(D20=0,0,E20/ABS(D20))</f>
        <v>-0.116666666666667</v>
      </c>
      <c r="G20" s="12" t="n">
        <f aca="false">INDEX(TB!$I$6:$I$46,MATCH($A20,TB!$A$6:$A$46,0))</f>
        <v>2700000</v>
      </c>
      <c r="H20" s="35" t="n">
        <f aca="false">IF(G20=0,0,(G20-C20)/ABS(G20))</f>
        <v>-0.240740740740741</v>
      </c>
      <c r="I20" s="27" t="str">
        <f aca="false">IF(AND(ABS(E20)&gt;=Inputs!$C$10,ABS(F20)&gt;=Inputs!$C$11),"Explain","")</f>
        <v>Explain</v>
      </c>
      <c r="J20" s="36" t="s">
        <v>355</v>
      </c>
    </row>
    <row r="21" customFormat="false" ht="15" hidden="false" customHeight="true" outlineLevel="0" collapsed="false">
      <c r="A21" s="7" t="n">
        <v>6130</v>
      </c>
      <c r="B21" s="9" t="str">
        <f aca="false">INDEX(CoA!$B$6:$B$46,MATCH($A21,CoA!$A$6:$A$46,0))</f>
        <v>IT and software</v>
      </c>
      <c r="C21" s="12" t="n">
        <f aca="false">INDEX(TB!$G$6:$G$46,MATCH($A21,TB!$A$6:$A$46,0))</f>
        <v>780000</v>
      </c>
      <c r="D21" s="12" t="n">
        <f aca="false">INDEX(TB!$H$6:$H$46,MATCH($A21,TB!$A$6:$A$46,0))</f>
        <v>720000</v>
      </c>
      <c r="E21" s="21" t="n">
        <f aca="false">D21-C21</f>
        <v>-60000</v>
      </c>
      <c r="F21" s="35" t="n">
        <f aca="false">IF(D21=0,0,E21/ABS(D21))</f>
        <v>-0.0833333333333333</v>
      </c>
      <c r="G21" s="12" t="n">
        <f aca="false">INDEX(TB!$I$6:$I$46,MATCH($A21,TB!$A$6:$A$46,0))</f>
        <v>650000</v>
      </c>
      <c r="H21" s="35" t="n">
        <f aca="false">IF(G21=0,0,(G21-C21)/ABS(G21))</f>
        <v>-0.2</v>
      </c>
      <c r="I21" s="27" t="str">
        <f aca="false">IF(AND(ABS(E21)&gt;=Inputs!$C$10,ABS(F21)&gt;=Inputs!$C$11),"Explain","")</f>
        <v/>
      </c>
      <c r="J21" s="10"/>
    </row>
    <row r="22" customFormat="false" ht="15" hidden="false" customHeight="true" outlineLevel="0" collapsed="false">
      <c r="A22" s="7" t="n">
        <v>6140</v>
      </c>
      <c r="B22" s="9" t="str">
        <f aca="false">INDEX(CoA!$B$6:$B$46,MATCH($A22,CoA!$A$6:$A$46,0))</f>
        <v>Utilities</v>
      </c>
      <c r="C22" s="12" t="n">
        <f aca="false">INDEX(TB!$G$6:$G$46,MATCH($A22,TB!$A$6:$A$46,0))</f>
        <v>410000</v>
      </c>
      <c r="D22" s="12" t="n">
        <f aca="false">INDEX(TB!$H$6:$H$46,MATCH($A22,TB!$A$6:$A$46,0))</f>
        <v>400000</v>
      </c>
      <c r="E22" s="21" t="n">
        <f aca="false">D22-C22</f>
        <v>-10000</v>
      </c>
      <c r="F22" s="35" t="n">
        <f aca="false">IF(D22=0,0,E22/ABS(D22))</f>
        <v>-0.025</v>
      </c>
      <c r="G22" s="12" t="n">
        <f aca="false">INDEX(TB!$I$6:$I$46,MATCH($A22,TB!$A$6:$A$46,0))</f>
        <v>380000</v>
      </c>
      <c r="H22" s="35" t="n">
        <f aca="false">IF(G22=0,0,(G22-C22)/ABS(G22))</f>
        <v>-0.0789473684210526</v>
      </c>
      <c r="I22" s="27" t="str">
        <f aca="false">IF(AND(ABS(E22)&gt;=Inputs!$C$10,ABS(F22)&gt;=Inputs!$C$11),"Explain","")</f>
        <v/>
      </c>
      <c r="J22" s="10"/>
    </row>
    <row r="23" customFormat="false" ht="15" hidden="false" customHeight="true" outlineLevel="0" collapsed="false">
      <c r="A23" s="7" t="n">
        <v>6150</v>
      </c>
      <c r="B23" s="9" t="str">
        <f aca="false">INDEX(CoA!$B$6:$B$46,MATCH($A23,CoA!$A$6:$A$46,0))</f>
        <v>Bank and merchant fees</v>
      </c>
      <c r="C23" s="12" t="n">
        <f aca="false">INDEX(TB!$G$6:$G$46,MATCH($A23,TB!$A$6:$A$46,0))</f>
        <v>690000</v>
      </c>
      <c r="D23" s="12" t="n">
        <f aca="false">INDEX(TB!$H$6:$H$46,MATCH($A23,TB!$A$6:$A$46,0))</f>
        <v>650000</v>
      </c>
      <c r="E23" s="21" t="n">
        <f aca="false">D23-C23</f>
        <v>-40000</v>
      </c>
      <c r="F23" s="35" t="n">
        <f aca="false">IF(D23=0,0,E23/ABS(D23))</f>
        <v>-0.0615384615384615</v>
      </c>
      <c r="G23" s="12" t="n">
        <f aca="false">INDEX(TB!$I$6:$I$46,MATCH($A23,TB!$A$6:$A$46,0))</f>
        <v>560000</v>
      </c>
      <c r="H23" s="35" t="n">
        <f aca="false">IF(G23=0,0,(G23-C23)/ABS(G23))</f>
        <v>-0.232142857142857</v>
      </c>
      <c r="I23" s="27" t="str">
        <f aca="false">IF(AND(ABS(E23)&gt;=Inputs!$C$10,ABS(F23)&gt;=Inputs!$C$11),"Explain","")</f>
        <v/>
      </c>
      <c r="J23" s="10"/>
    </row>
    <row r="24" customFormat="false" ht="15" hidden="false" customHeight="true" outlineLevel="0" collapsed="false">
      <c r="A24" s="7" t="n">
        <v>6160</v>
      </c>
      <c r="B24" s="9" t="str">
        <f aca="false">INDEX(CoA!$B$6:$B$46,MATCH($A24,CoA!$A$6:$A$46,0))</f>
        <v>Other operating expenses</v>
      </c>
      <c r="C24" s="12" t="n">
        <f aca="false">INDEX(TB!$G$6:$G$46,MATCH($A24,TB!$A$6:$A$46,0))</f>
        <v>1050000</v>
      </c>
      <c r="D24" s="12" t="n">
        <f aca="false">INDEX(TB!$H$6:$H$46,MATCH($A24,TB!$A$6:$A$46,0))</f>
        <v>1000000</v>
      </c>
      <c r="E24" s="21" t="n">
        <f aca="false">D24-C24</f>
        <v>-50000</v>
      </c>
      <c r="F24" s="35" t="n">
        <f aca="false">IF(D24=0,0,E24/ABS(D24))</f>
        <v>-0.05</v>
      </c>
      <c r="G24" s="12" t="n">
        <f aca="false">INDEX(TB!$I$6:$I$46,MATCH($A24,TB!$A$6:$A$46,0))</f>
        <v>920000</v>
      </c>
      <c r="H24" s="35" t="n">
        <f aca="false">IF(G24=0,0,(G24-C24)/ABS(G24))</f>
        <v>-0.141304347826087</v>
      </c>
      <c r="I24" s="27" t="str">
        <f aca="false">IF(AND(ABS(E24)&gt;=Inputs!$C$10,ABS(F24)&gt;=Inputs!$C$11),"Explain","")</f>
        <v/>
      </c>
      <c r="J24" s="10"/>
    </row>
    <row r="25" customFormat="false" ht="15" hidden="false" customHeight="true" outlineLevel="0" collapsed="false">
      <c r="A25" s="37"/>
      <c r="B25" s="38" t="s">
        <v>356</v>
      </c>
      <c r="C25" s="39" t="n">
        <f aca="false">SUM(C16:C24)</f>
        <v>24020000</v>
      </c>
      <c r="D25" s="39" t="n">
        <f aca="false">SUM(D16:D24)</f>
        <v>23230000</v>
      </c>
      <c r="E25" s="40" t="n">
        <f aca="false">D25-C25</f>
        <v>-790000</v>
      </c>
      <c r="F25" s="41" t="n">
        <f aca="false">IF(D25=0,0,E25/ABS(D25))</f>
        <v>-0.0340077486009471</v>
      </c>
      <c r="G25" s="39" t="n">
        <f aca="false">SUM(G16:G24)</f>
        <v>21420000</v>
      </c>
      <c r="H25" s="41" t="n">
        <f aca="false">IF(G25=0,0,(G25-C25)/ABS(G25))</f>
        <v>-0.121381886087768</v>
      </c>
      <c r="I25" s="42" t="str">
        <f aca="false">IF(AND(ABS(E25)&gt;=Inputs!$C$10,ABS(F25)&gt;=Inputs!$C$11),"Explain","")</f>
        <v/>
      </c>
      <c r="J25" s="37"/>
    </row>
    <row r="26" customFormat="false" ht="66" hidden="false" customHeight="true" outlineLevel="0" collapsed="false">
      <c r="A26" s="37"/>
      <c r="B26" s="38" t="s">
        <v>357</v>
      </c>
      <c r="C26" s="39" t="n">
        <f aca="false">C14-C25</f>
        <v>4410000</v>
      </c>
      <c r="D26" s="39" t="n">
        <f aca="false">D14-D25</f>
        <v>5820000</v>
      </c>
      <c r="E26" s="40" t="n">
        <f aca="false">C26-D26</f>
        <v>-1410000</v>
      </c>
      <c r="F26" s="41" t="n">
        <f aca="false">IF(D26=0,0,E26/ABS(D26))</f>
        <v>-0.242268041237113</v>
      </c>
      <c r="G26" s="39" t="n">
        <f aca="false">G14-G25</f>
        <v>3200000</v>
      </c>
      <c r="H26" s="41" t="n">
        <f aca="false">IF(G26=0,0,(C26-G26)/ABS(G26))</f>
        <v>0.378125</v>
      </c>
      <c r="I26" s="42" t="str">
        <f aca="false">IF(AND(ABS(E26)&gt;=Inputs!$C$10,ABS(F26)&gt;=Inputs!$C$11),"Explain","")</f>
        <v>Explain</v>
      </c>
      <c r="J26" s="44" t="s">
        <v>358</v>
      </c>
    </row>
    <row r="27" customFormat="false" ht="15" hidden="false" customHeight="true" outlineLevel="0" collapsed="false">
      <c r="A27" s="7" t="n">
        <v>6120</v>
      </c>
      <c r="B27" s="9" t="str">
        <f aca="false">INDEX(CoA!$B$6:$B$46,MATCH($A27,CoA!$A$6:$A$46,0))</f>
        <v>Depreciation</v>
      </c>
      <c r="C27" s="12" t="n">
        <f aca="false">INDEX(TB!$G$6:$G$46,MATCH($A27,TB!$A$6:$A$46,0))</f>
        <v>1650000</v>
      </c>
      <c r="D27" s="12" t="n">
        <f aca="false">INDEX(TB!$H$6:$H$46,MATCH($A27,TB!$A$6:$A$46,0))</f>
        <v>1600000</v>
      </c>
      <c r="E27" s="21" t="n">
        <f aca="false">D27-C27</f>
        <v>-50000</v>
      </c>
      <c r="F27" s="35" t="n">
        <f aca="false">IF(D27=0,0,E27/ABS(D27))</f>
        <v>-0.03125</v>
      </c>
      <c r="G27" s="12" t="n">
        <f aca="false">INDEX(TB!$I$6:$I$46,MATCH($A27,TB!$A$6:$A$46,0))</f>
        <v>1500000</v>
      </c>
      <c r="H27" s="35" t="n">
        <f aca="false">IF(G27=0,0,(G27-C27)/ABS(G27))</f>
        <v>-0.1</v>
      </c>
      <c r="I27" s="27" t="str">
        <f aca="false">IF(AND(ABS(E27)&gt;=Inputs!$C$10,ABS(F27)&gt;=Inputs!$C$11),"Explain","")</f>
        <v/>
      </c>
      <c r="J27" s="10"/>
    </row>
    <row r="28" customFormat="false" ht="66" hidden="false" customHeight="true" outlineLevel="0" collapsed="false">
      <c r="A28" s="37"/>
      <c r="B28" s="38" t="s">
        <v>359</v>
      </c>
      <c r="C28" s="39" t="n">
        <f aca="false">C26-C27</f>
        <v>2760000</v>
      </c>
      <c r="D28" s="39" t="n">
        <f aca="false">D26-D27</f>
        <v>4220000</v>
      </c>
      <c r="E28" s="40" t="n">
        <f aca="false">C28-D28</f>
        <v>-1460000</v>
      </c>
      <c r="F28" s="41" t="n">
        <f aca="false">IF(D28=0,0,E28/ABS(D28))</f>
        <v>-0.345971563981043</v>
      </c>
      <c r="G28" s="39" t="n">
        <f aca="false">G26-G27</f>
        <v>1700000</v>
      </c>
      <c r="H28" s="41" t="n">
        <f aca="false">IF(G28=0,0,(C28-G28)/ABS(G28))</f>
        <v>0.623529411764706</v>
      </c>
      <c r="I28" s="42" t="str">
        <f aca="false">IF(AND(ABS(E28)&gt;=Inputs!$C$10,ABS(F28)&gt;=Inputs!$C$11),"Explain","")</f>
        <v>Explain</v>
      </c>
      <c r="J28" s="44" t="s">
        <v>360</v>
      </c>
    </row>
    <row r="29" customFormat="false" ht="15" hidden="false" customHeight="true" outlineLevel="0" collapsed="false">
      <c r="A29" s="7" t="n">
        <v>7000</v>
      </c>
      <c r="B29" s="9" t="str">
        <f aca="false">INDEX(CoA!$B$6:$B$46,MATCH($A29,CoA!$A$6:$A$46,0))</f>
        <v>Interest expense</v>
      </c>
      <c r="C29" s="12" t="n">
        <f aca="false">INDEX(TB!$G$6:$G$46,MATCH($A29,TB!$A$6:$A$46,0))</f>
        <v>640000</v>
      </c>
      <c r="D29" s="12" t="n">
        <f aca="false">INDEX(TB!$H$6:$H$46,MATCH($A29,TB!$A$6:$A$46,0))</f>
        <v>650000</v>
      </c>
      <c r="E29" s="21" t="n">
        <f aca="false">D29-C29</f>
        <v>10000</v>
      </c>
      <c r="F29" s="35" t="n">
        <f aca="false">IF(D29=0,0,E29/ABS(D29))</f>
        <v>0.0153846153846154</v>
      </c>
      <c r="G29" s="12" t="n">
        <f aca="false">INDEX(TB!$I$6:$I$46,MATCH($A29,TB!$A$6:$A$46,0))</f>
        <v>700000</v>
      </c>
      <c r="H29" s="35" t="n">
        <f aca="false">IF(G29=0,0,(G29-C29)/ABS(G29))</f>
        <v>0.0857142857142857</v>
      </c>
      <c r="I29" s="27" t="str">
        <f aca="false">IF(AND(ABS(E29)&gt;=Inputs!$C$10,ABS(F29)&gt;=Inputs!$C$11),"Explain","")</f>
        <v/>
      </c>
      <c r="J29" s="10"/>
    </row>
    <row r="30" customFormat="false" ht="66" hidden="false" customHeight="true" outlineLevel="0" collapsed="false">
      <c r="A30" s="37"/>
      <c r="B30" s="38" t="s">
        <v>361</v>
      </c>
      <c r="C30" s="39" t="n">
        <f aca="false">C28-C29</f>
        <v>2120000</v>
      </c>
      <c r="D30" s="39" t="n">
        <f aca="false">D28-D29</f>
        <v>3570000</v>
      </c>
      <c r="E30" s="40" t="n">
        <f aca="false">C30-D30</f>
        <v>-1450000</v>
      </c>
      <c r="F30" s="41" t="n">
        <f aca="false">IF(D30=0,0,E30/ABS(D30))</f>
        <v>-0.406162464985994</v>
      </c>
      <c r="G30" s="39" t="n">
        <f aca="false">G28-G29</f>
        <v>1000000</v>
      </c>
      <c r="H30" s="41" t="n">
        <f aca="false">IF(G30=0,0,(C30-G30)/ABS(G30))</f>
        <v>1.12</v>
      </c>
      <c r="I30" s="42" t="str">
        <f aca="false">IF(AND(ABS(E30)&gt;=Inputs!$C$10,ABS(F30)&gt;=Inputs!$C$11),"Explain","")</f>
        <v>Explain</v>
      </c>
      <c r="J30" s="44" t="s">
        <v>362</v>
      </c>
    </row>
    <row r="32" customFormat="false" ht="15" hidden="false" customHeight="true" outlineLevel="0" collapsed="false">
      <c r="A32" s="3" t="s">
        <v>363</v>
      </c>
    </row>
  </sheetData>
  <conditionalFormatting sqref="I6:I30">
    <cfRule type="cellIs" priority="2" operator="equal" aboveAverage="0" equalAverage="0" bottom="0" percent="0" rank="0" text="" dxfId="5">
      <formula>"Explain"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T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4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1"/>
    <col collapsed="false" customWidth="true" hidden="false" outlineLevel="0" max="7" min="7" style="1" width="16"/>
    <col collapsed="false" customWidth="true" hidden="false" outlineLevel="0" max="9" min="8" style="1" width="14"/>
    <col collapsed="false" customWidth="true" hidden="false" outlineLevel="0" max="11" min="10" style="1" width="16"/>
    <col collapsed="false" customWidth="true" hidden="false" outlineLevel="0" max="13" min="12" style="1" width="15"/>
    <col collapsed="false" customWidth="true" hidden="false" outlineLevel="0" max="15" min="14" style="1" width="16"/>
    <col collapsed="false" customWidth="true" hidden="false" outlineLevel="0" max="16" min="16" style="1" width="10"/>
    <col collapsed="false" customWidth="true" hidden="false" outlineLevel="0" max="17" min="17" style="1" width="16"/>
    <col collapsed="false" customWidth="true" hidden="false" outlineLevel="0" max="18" min="18" style="1" width="15"/>
    <col collapsed="false" customWidth="true" hidden="false" outlineLevel="0" max="20" min="19" style="1" width="16"/>
  </cols>
  <sheetData>
    <row r="1" customFormat="false" ht="17.25" hidden="false" customHeight="true" outlineLevel="0" collapsed="false">
      <c r="A1" s="2" t="s">
        <v>364</v>
      </c>
    </row>
    <row r="2" customFormat="false" ht="15" hidden="false" customHeight="true" outlineLevel="0" collapsed="false">
      <c r="A2" s="3" t="s">
        <v>365</v>
      </c>
    </row>
    <row r="3" customFormat="false" ht="15" hidden="false" customHeight="true" outlineLevel="0" collapsed="false">
      <c r="A3" s="4" t="s">
        <v>243</v>
      </c>
      <c r="C3" s="11" t="n">
        <f aca="false">Inputs!$C$5</f>
        <v>46295</v>
      </c>
    </row>
    <row r="4" customFormat="false" ht="15" hidden="false" customHeight="true" outlineLevel="0" collapsed="false">
      <c r="A4" s="4" t="s">
        <v>366</v>
      </c>
      <c r="C4" s="16" t="n">
        <v>0.3</v>
      </c>
      <c r="D4" s="3" t="s">
        <v>367</v>
      </c>
    </row>
    <row r="6" customFormat="false" ht="42" hidden="false" customHeight="true" outlineLevel="0" collapsed="false">
      <c r="A6" s="6" t="s">
        <v>368</v>
      </c>
      <c r="B6" s="6" t="s">
        <v>369</v>
      </c>
      <c r="C6" s="6" t="s">
        <v>370</v>
      </c>
      <c r="D6" s="6" t="s">
        <v>371</v>
      </c>
      <c r="E6" s="6" t="s">
        <v>372</v>
      </c>
      <c r="F6" s="6" t="s">
        <v>373</v>
      </c>
      <c r="G6" s="6" t="s">
        <v>374</v>
      </c>
      <c r="H6" s="6" t="s">
        <v>375</v>
      </c>
      <c r="I6" s="6" t="s">
        <v>376</v>
      </c>
      <c r="J6" s="6" t="s">
        <v>377</v>
      </c>
      <c r="K6" s="6" t="s">
        <v>378</v>
      </c>
      <c r="L6" s="6" t="s">
        <v>379</v>
      </c>
      <c r="M6" s="6" t="s">
        <v>380</v>
      </c>
      <c r="N6" s="6" t="s">
        <v>381</v>
      </c>
      <c r="O6" s="6" t="s">
        <v>382</v>
      </c>
      <c r="P6" s="6" t="s">
        <v>383</v>
      </c>
      <c r="Q6" s="6" t="s">
        <v>384</v>
      </c>
      <c r="R6" s="6" t="s">
        <v>385</v>
      </c>
      <c r="S6" s="6" t="s">
        <v>386</v>
      </c>
      <c r="T6" s="6" t="s">
        <v>387</v>
      </c>
    </row>
    <row r="7" customFormat="false" ht="15" hidden="false" customHeight="true" outlineLevel="0" collapsed="false">
      <c r="A7" s="7" t="s">
        <v>388</v>
      </c>
      <c r="B7" s="7" t="s">
        <v>389</v>
      </c>
      <c r="C7" s="7" t="s">
        <v>390</v>
      </c>
      <c r="D7" s="7" t="n">
        <v>1500</v>
      </c>
      <c r="E7" s="7" t="n">
        <v>1510</v>
      </c>
      <c r="F7" s="45" t="n">
        <v>120</v>
      </c>
      <c r="G7" s="20" t="n">
        <v>61300000</v>
      </c>
      <c r="H7" s="20" t="n">
        <v>700000</v>
      </c>
      <c r="I7" s="20" t="n">
        <v>0</v>
      </c>
      <c r="J7" s="21" t="n">
        <f aca="false">IF($A7="","",G7+H7-I7)</f>
        <v>62000000</v>
      </c>
      <c r="K7" s="20" t="n">
        <v>28500000</v>
      </c>
      <c r="L7" s="21" t="n">
        <f aca="false">IF($A7="","",IF(F7=0,0,MAX(0,MIN(J7/F7,J7-K7+M7))))</f>
        <v>516666.666666667</v>
      </c>
      <c r="M7" s="20" t="n">
        <v>0</v>
      </c>
      <c r="N7" s="21" t="n">
        <f aca="false">IF($A7="","",K7+L7-M7)</f>
        <v>29016666.6666667</v>
      </c>
      <c r="O7" s="21" t="n">
        <f aca="false">IF($A7="","",J7-N7)</f>
        <v>32983333.3333333</v>
      </c>
      <c r="P7" s="46" t="n">
        <v>0.12</v>
      </c>
      <c r="Q7" s="20" t="n">
        <v>30100000</v>
      </c>
      <c r="R7" s="21" t="n">
        <f aca="false">IF($A7="","",(Q7+H7)*P7/12)</f>
        <v>308000</v>
      </c>
      <c r="S7" s="21" t="n">
        <f aca="false">IF($A7="","",Q7+H7-R7)</f>
        <v>30492000</v>
      </c>
      <c r="T7" s="21" t="n">
        <f aca="false">IF($A7="","",O7-S7)</f>
        <v>2491333.33333333</v>
      </c>
    </row>
    <row r="8" customFormat="false" ht="15" hidden="false" customHeight="true" outlineLevel="0" collapsed="false">
      <c r="A8" s="7" t="s">
        <v>391</v>
      </c>
      <c r="B8" s="7" t="s">
        <v>392</v>
      </c>
      <c r="C8" s="7" t="s">
        <v>390</v>
      </c>
      <c r="D8" s="7" t="n">
        <v>1500</v>
      </c>
      <c r="E8" s="7" t="n">
        <v>1510</v>
      </c>
      <c r="F8" s="45" t="n">
        <v>120</v>
      </c>
      <c r="G8" s="20" t="n">
        <v>47500000</v>
      </c>
      <c r="H8" s="20" t="n">
        <v>500000</v>
      </c>
      <c r="I8" s="20" t="n">
        <v>0</v>
      </c>
      <c r="J8" s="21" t="n">
        <f aca="false">IF($A8="","",G8+H8-I8)</f>
        <v>48000000</v>
      </c>
      <c r="K8" s="20" t="n">
        <v>25000000</v>
      </c>
      <c r="L8" s="21" t="n">
        <f aca="false">IF($A8="","",IF(F8=0,0,MAX(0,MIN(J8/F8,J8-K8+M8))))</f>
        <v>400000</v>
      </c>
      <c r="M8" s="20" t="n">
        <v>0</v>
      </c>
      <c r="N8" s="21" t="n">
        <f aca="false">IF($A8="","",K8+L8-M8)</f>
        <v>25400000</v>
      </c>
      <c r="O8" s="21" t="n">
        <f aca="false">IF($A8="","",J8-N8)</f>
        <v>22600000</v>
      </c>
      <c r="P8" s="46" t="n">
        <v>0.12</v>
      </c>
      <c r="Q8" s="20" t="n">
        <v>20400000</v>
      </c>
      <c r="R8" s="21" t="n">
        <f aca="false">IF($A8="","",(Q8+H8)*P8/12)</f>
        <v>209000</v>
      </c>
      <c r="S8" s="21" t="n">
        <f aca="false">IF($A8="","",Q8+H8-R8)</f>
        <v>20691000</v>
      </c>
      <c r="T8" s="21" t="n">
        <f aca="false">IF($A8="","",O8-S8)</f>
        <v>1909000</v>
      </c>
    </row>
    <row r="9" customFormat="false" ht="15" hidden="false" customHeight="true" outlineLevel="0" collapsed="false">
      <c r="A9" s="7" t="s">
        <v>393</v>
      </c>
      <c r="B9" s="7" t="s">
        <v>394</v>
      </c>
      <c r="C9" s="7" t="s">
        <v>390</v>
      </c>
      <c r="D9" s="7" t="n">
        <v>1500</v>
      </c>
      <c r="E9" s="7" t="n">
        <v>1510</v>
      </c>
      <c r="F9" s="45" t="n">
        <v>120</v>
      </c>
      <c r="G9" s="20" t="n">
        <v>33900000</v>
      </c>
      <c r="H9" s="20" t="n">
        <v>100000</v>
      </c>
      <c r="I9" s="20" t="n">
        <v>0</v>
      </c>
      <c r="J9" s="21" t="n">
        <f aca="false">IF($A9="","",G9+H9-I9)</f>
        <v>34000000</v>
      </c>
      <c r="K9" s="20" t="n">
        <v>16500000</v>
      </c>
      <c r="L9" s="21" t="n">
        <f aca="false">IF($A9="","",IF(F9=0,0,MAX(0,MIN(J9/F9,J9-K9+M9))))</f>
        <v>283333.333333333</v>
      </c>
      <c r="M9" s="20" t="n">
        <v>0</v>
      </c>
      <c r="N9" s="21" t="n">
        <f aca="false">IF($A9="","",K9+L9-M9)</f>
        <v>16783333.3333333</v>
      </c>
      <c r="O9" s="21" t="n">
        <f aca="false">IF($A9="","",J9-N9)</f>
        <v>17216666.6666667</v>
      </c>
      <c r="P9" s="46" t="n">
        <v>0.12</v>
      </c>
      <c r="Q9" s="20" t="n">
        <v>15000000</v>
      </c>
      <c r="R9" s="21" t="n">
        <f aca="false">IF($A9="","",(Q9+H9)*P9/12)</f>
        <v>151000</v>
      </c>
      <c r="S9" s="21" t="n">
        <f aca="false">IF($A9="","",Q9+H9-R9)</f>
        <v>14949000</v>
      </c>
      <c r="T9" s="21" t="n">
        <f aca="false">IF($A9="","",O9-S9)</f>
        <v>2267666.66666667</v>
      </c>
    </row>
    <row r="10" customFormat="false" ht="15" hidden="false" customHeight="true" outlineLevel="0" collapsed="false">
      <c r="A10" s="7" t="s">
        <v>395</v>
      </c>
      <c r="B10" s="7" t="s">
        <v>396</v>
      </c>
      <c r="C10" s="7" t="s">
        <v>390</v>
      </c>
      <c r="D10" s="7" t="n">
        <v>1500</v>
      </c>
      <c r="E10" s="7" t="n">
        <v>1510</v>
      </c>
      <c r="F10" s="45" t="n">
        <v>0</v>
      </c>
      <c r="G10" s="20" t="n">
        <v>3600000</v>
      </c>
      <c r="H10" s="20" t="n">
        <v>400000</v>
      </c>
      <c r="I10" s="20" t="n">
        <v>0</v>
      </c>
      <c r="J10" s="21" t="n">
        <f aca="false">IF($A10="","",G10+H10-I10)</f>
        <v>4000000</v>
      </c>
      <c r="K10" s="20" t="n">
        <v>0</v>
      </c>
      <c r="L10" s="21" t="n">
        <f aca="false">IF($A10="","",IF(F10=0,0,MAX(0,MIN(J10/F10,J10-K10+M10))))</f>
        <v>0</v>
      </c>
      <c r="M10" s="20" t="n">
        <v>0</v>
      </c>
      <c r="N10" s="21" t="n">
        <f aca="false">IF($A10="","",K10+L10-M10)</f>
        <v>0</v>
      </c>
      <c r="O10" s="21" t="n">
        <f aca="false">IF($A10="","",J10-N10)</f>
        <v>4000000</v>
      </c>
      <c r="P10" s="46" t="n">
        <v>0</v>
      </c>
      <c r="Q10" s="20" t="n">
        <v>3600000</v>
      </c>
      <c r="R10" s="21" t="n">
        <f aca="false">IF($A10="","",(Q10+H10)*P10/12)</f>
        <v>0</v>
      </c>
      <c r="S10" s="21" t="n">
        <f aca="false">IF($A10="","",Q10+H10-R10)</f>
        <v>4000000</v>
      </c>
      <c r="T10" s="21" t="n">
        <f aca="false">IF($A10="","",O10-S10)</f>
        <v>0</v>
      </c>
    </row>
    <row r="11" customFormat="false" ht="15" hidden="false" customHeight="true" outlineLevel="0" collapsed="false">
      <c r="A11" s="7" t="s">
        <v>397</v>
      </c>
      <c r="B11" s="7" t="s">
        <v>398</v>
      </c>
      <c r="C11" s="7" t="s">
        <v>159</v>
      </c>
      <c r="D11" s="7" t="n">
        <v>1505</v>
      </c>
      <c r="E11" s="7" t="n">
        <v>1515</v>
      </c>
      <c r="F11" s="45" t="n">
        <v>36</v>
      </c>
      <c r="G11" s="20" t="n">
        <v>8000000</v>
      </c>
      <c r="H11" s="20" t="n">
        <v>250000</v>
      </c>
      <c r="I11" s="20" t="n">
        <v>0</v>
      </c>
      <c r="J11" s="21" t="n">
        <f aca="false">IF($A11="","",G11+H11-I11)</f>
        <v>8250000</v>
      </c>
      <c r="K11" s="20" t="n">
        <v>6500000</v>
      </c>
      <c r="L11" s="21" t="n">
        <f aca="false">IF($A11="","",IF(F11=0,0,MAX(0,MIN(J11/F11,J11-K11+M11))))</f>
        <v>229166.666666667</v>
      </c>
      <c r="M11" s="20" t="n">
        <v>0</v>
      </c>
      <c r="N11" s="21" t="n">
        <f aca="false">IF($A11="","",K11+L11-M11)</f>
        <v>6729166.66666667</v>
      </c>
      <c r="O11" s="21" t="n">
        <f aca="false">IF($A11="","",J11-N11)</f>
        <v>1520833.33333333</v>
      </c>
      <c r="P11" s="46" t="n">
        <v>0.3</v>
      </c>
      <c r="Q11" s="20" t="n">
        <v>1100000</v>
      </c>
      <c r="R11" s="21" t="n">
        <f aca="false">IF($A11="","",(Q11+H11)*P11/12)</f>
        <v>33750</v>
      </c>
      <c r="S11" s="21" t="n">
        <f aca="false">IF($A11="","",Q11+H11-R11)</f>
        <v>1316250</v>
      </c>
      <c r="T11" s="21" t="n">
        <f aca="false">IF($A11="","",O11-S11)</f>
        <v>204583.333333333</v>
      </c>
    </row>
    <row r="12" customFormat="false" ht="15" hidden="false" customHeight="true" outlineLevel="0" collapsed="false">
      <c r="A12" s="7" t="s">
        <v>399</v>
      </c>
      <c r="B12" s="7" t="s">
        <v>400</v>
      </c>
      <c r="C12" s="7" t="s">
        <v>159</v>
      </c>
      <c r="D12" s="7" t="n">
        <v>1505</v>
      </c>
      <c r="E12" s="7" t="n">
        <v>1515</v>
      </c>
      <c r="F12" s="45" t="n">
        <v>60</v>
      </c>
      <c r="G12" s="20" t="n">
        <v>13100000</v>
      </c>
      <c r="H12" s="20" t="n">
        <v>150000</v>
      </c>
      <c r="I12" s="20" t="n">
        <v>0</v>
      </c>
      <c r="J12" s="21" t="n">
        <f aca="false">IF($A12="","",G12+H12-I12)</f>
        <v>13250000</v>
      </c>
      <c r="K12" s="20" t="n">
        <v>6450000</v>
      </c>
      <c r="L12" s="21" t="n">
        <f aca="false">IF($A12="","",IF(F12=0,0,MAX(0,MIN(J12/F12,J12-K12+M12))))</f>
        <v>220833.333333333</v>
      </c>
      <c r="M12" s="20" t="n">
        <v>0</v>
      </c>
      <c r="N12" s="21" t="n">
        <f aca="false">IF($A12="","",K12+L12-M12)</f>
        <v>6670833.33333333</v>
      </c>
      <c r="O12" s="21" t="n">
        <f aca="false">IF($A12="","",J12-N12)</f>
        <v>6579166.66666667</v>
      </c>
      <c r="P12" s="46" t="n">
        <v>0.2</v>
      </c>
      <c r="Q12" s="20" t="n">
        <v>5200000</v>
      </c>
      <c r="R12" s="21" t="n">
        <f aca="false">IF($A12="","",(Q12+H12)*P12/12)</f>
        <v>89166.6666666667</v>
      </c>
      <c r="S12" s="21" t="n">
        <f aca="false">IF($A12="","",Q12+H12-R12)</f>
        <v>5260833.33333333</v>
      </c>
      <c r="T12" s="21" t="n">
        <f aca="false">IF($A12="","",O12-S12)</f>
        <v>1318333.33333333</v>
      </c>
    </row>
    <row r="13" customFormat="false" ht="15" hidden="false" customHeight="true" outlineLevel="0" collapsed="false">
      <c r="J13" s="21" t="str">
        <f aca="false">IF($A13="","",G13+H13-I13)</f>
        <v/>
      </c>
      <c r="L13" s="21" t="str">
        <f aca="false">IF($A13="","",IF(F13=0,0,MAX(0,MIN(J13/F13,J13-K13+M13))))</f>
        <v/>
      </c>
      <c r="N13" s="21" t="str">
        <f aca="false">IF($A13="","",K13+L13-M13)</f>
        <v/>
      </c>
      <c r="O13" s="21" t="str">
        <f aca="false">IF($A13="","",J13-N13)</f>
        <v/>
      </c>
      <c r="R13" s="21" t="str">
        <f aca="false">IF($A13="","",(Q13+H13)*P13/12)</f>
        <v/>
      </c>
      <c r="S13" s="21" t="str">
        <f aca="false">IF($A13="","",Q13+H13-R13)</f>
        <v/>
      </c>
      <c r="T13" s="21" t="str">
        <f aca="false">IF($A13="","",O13-S13)</f>
        <v/>
      </c>
    </row>
    <row r="14" customFormat="false" ht="15" hidden="false" customHeight="true" outlineLevel="0" collapsed="false">
      <c r="J14" s="21" t="str">
        <f aca="false">IF($A14="","",G14+H14-I14)</f>
        <v/>
      </c>
      <c r="L14" s="21" t="str">
        <f aca="false">IF($A14="","",IF(F14=0,0,MAX(0,MIN(J14/F14,J14-K14+M14))))</f>
        <v/>
      </c>
      <c r="N14" s="21" t="str">
        <f aca="false">IF($A14="","",K14+L14-M14)</f>
        <v/>
      </c>
      <c r="O14" s="21" t="str">
        <f aca="false">IF($A14="","",J14-N14)</f>
        <v/>
      </c>
      <c r="R14" s="21" t="str">
        <f aca="false">IF($A14="","",(Q14+H14)*P14/12)</f>
        <v/>
      </c>
      <c r="S14" s="21" t="str">
        <f aca="false">IF($A14="","",Q14+H14-R14)</f>
        <v/>
      </c>
      <c r="T14" s="21" t="str">
        <f aca="false">IF($A14="","",O14-S14)</f>
        <v/>
      </c>
    </row>
    <row r="15" customFormat="false" ht="15" hidden="false" customHeight="true" outlineLevel="0" collapsed="false">
      <c r="J15" s="21" t="str">
        <f aca="false">IF($A15="","",G15+H15-I15)</f>
        <v/>
      </c>
      <c r="L15" s="21" t="str">
        <f aca="false">IF($A15="","",IF(F15=0,0,MAX(0,MIN(J15/F15,J15-K15+M15))))</f>
        <v/>
      </c>
      <c r="N15" s="21" t="str">
        <f aca="false">IF($A15="","",K15+L15-M15)</f>
        <v/>
      </c>
      <c r="O15" s="21" t="str">
        <f aca="false">IF($A15="","",J15-N15)</f>
        <v/>
      </c>
      <c r="R15" s="21" t="str">
        <f aca="false">IF($A15="","",(Q15+H15)*P15/12)</f>
        <v/>
      </c>
      <c r="S15" s="21" t="str">
        <f aca="false">IF($A15="","",Q15+H15-R15)</f>
        <v/>
      </c>
      <c r="T15" s="21" t="str">
        <f aca="false">IF($A15="","",O15-S15)</f>
        <v/>
      </c>
    </row>
    <row r="16" customFormat="false" ht="15" hidden="false" customHeight="true" outlineLevel="0" collapsed="false">
      <c r="J16" s="21" t="str">
        <f aca="false">IF($A16="","",G16+H16-I16)</f>
        <v/>
      </c>
      <c r="L16" s="21" t="str">
        <f aca="false">IF($A16="","",IF(F16=0,0,MAX(0,MIN(J16/F16,J16-K16+M16))))</f>
        <v/>
      </c>
      <c r="N16" s="21" t="str">
        <f aca="false">IF($A16="","",K16+L16-M16)</f>
        <v/>
      </c>
      <c r="O16" s="21" t="str">
        <f aca="false">IF($A16="","",J16-N16)</f>
        <v/>
      </c>
      <c r="R16" s="21" t="str">
        <f aca="false">IF($A16="","",(Q16+H16)*P16/12)</f>
        <v/>
      </c>
      <c r="S16" s="21" t="str">
        <f aca="false">IF($A16="","",Q16+H16-R16)</f>
        <v/>
      </c>
      <c r="T16" s="21" t="str">
        <f aca="false">IF($A16="","",O16-S16)</f>
        <v/>
      </c>
    </row>
    <row r="17" customFormat="false" ht="15" hidden="false" customHeight="true" outlineLevel="0" collapsed="false">
      <c r="B17" s="4" t="s">
        <v>240</v>
      </c>
      <c r="G17" s="22" t="n">
        <f aca="false">SUM(G7:G16)</f>
        <v>167400000</v>
      </c>
      <c r="H17" s="22" t="n">
        <f aca="false">SUM(H7:H16)</f>
        <v>2100000</v>
      </c>
      <c r="I17" s="22" t="n">
        <f aca="false">SUM(I7:I16)</f>
        <v>0</v>
      </c>
      <c r="J17" s="22" t="n">
        <f aca="false">SUM(J7:J16)</f>
        <v>169500000</v>
      </c>
      <c r="K17" s="22" t="n">
        <f aca="false">SUM(K7:K16)</f>
        <v>82950000</v>
      </c>
      <c r="L17" s="22" t="n">
        <f aca="false">SUM(L7:L16)</f>
        <v>1650000</v>
      </c>
      <c r="M17" s="22" t="n">
        <f aca="false">SUM(M7:M16)</f>
        <v>0</v>
      </c>
      <c r="N17" s="22" t="n">
        <f aca="false">SUM(N7:N16)</f>
        <v>84600000</v>
      </c>
      <c r="O17" s="22" t="n">
        <f aca="false">SUM(O7:O16)</f>
        <v>84900000</v>
      </c>
      <c r="Q17" s="22" t="n">
        <f aca="false">SUM(Q7:Q16)</f>
        <v>75400000</v>
      </c>
      <c r="R17" s="22" t="n">
        <f aca="false">SUM(R7:R16)</f>
        <v>790916.666666667</v>
      </c>
      <c r="S17" s="22" t="n">
        <f aca="false">SUM(S7:S16)</f>
        <v>76709083.3333333</v>
      </c>
      <c r="T17" s="22" t="n">
        <f aca="false">SUM(T7:T16)</f>
        <v>8190916.66666667</v>
      </c>
    </row>
    <row r="19" customFormat="false" ht="15" hidden="false" customHeight="true" outlineLevel="0" collapsed="false">
      <c r="B19" s="4" t="s">
        <v>401</v>
      </c>
    </row>
    <row r="20" customFormat="false" ht="23.25" hidden="false" customHeight="true" outlineLevel="0" collapsed="false">
      <c r="B20" s="6" t="s">
        <v>402</v>
      </c>
      <c r="C20" s="6" t="s">
        <v>403</v>
      </c>
      <c r="D20" s="6" t="s">
        <v>404</v>
      </c>
      <c r="E20" s="6" t="s">
        <v>405</v>
      </c>
      <c r="F20" s="6" t="s">
        <v>232</v>
      </c>
      <c r="G20" s="6" t="s">
        <v>190</v>
      </c>
    </row>
    <row r="21" customFormat="false" ht="15" hidden="false" customHeight="true" outlineLevel="0" collapsed="false">
      <c r="B21" s="8" t="s">
        <v>406</v>
      </c>
      <c r="C21" s="7" t="s">
        <v>407</v>
      </c>
      <c r="D21" s="21" t="n">
        <f aca="false">SUMIF($C$7:$C$16,"Fit-out",$J$7:$J$16)</f>
        <v>148000000</v>
      </c>
      <c r="E21" s="12" t="n">
        <f aca="false">SUMIF(TB!$A$6:$A$46,1500,TB!$F$6:$F$46)</f>
        <v>148000000</v>
      </c>
      <c r="F21" s="21" t="n">
        <f aca="false">ROUND(D21-E21,2)</f>
        <v>0</v>
      </c>
      <c r="G21" s="27" t="str">
        <f aca="false">IF(ABS(F21)&lt;=Inputs!$C$12,"TIES","INVESTIGATE")</f>
        <v>TIES</v>
      </c>
    </row>
    <row r="22" customFormat="false" ht="15" hidden="false" customHeight="true" outlineLevel="0" collapsed="false">
      <c r="B22" s="8" t="s">
        <v>408</v>
      </c>
      <c r="C22" s="7" t="s">
        <v>409</v>
      </c>
      <c r="D22" s="21" t="n">
        <f aca="false">SUMIF($C$7:$C$16,"IT",$J$7:$J$16)</f>
        <v>21500000</v>
      </c>
      <c r="E22" s="12" t="n">
        <f aca="false">SUMIF(TB!$A$6:$A$46,1505,TB!$F$6:$F$46)</f>
        <v>21500000</v>
      </c>
      <c r="F22" s="21" t="n">
        <f aca="false">ROUND(D22-E22,2)</f>
        <v>0</v>
      </c>
      <c r="G22" s="27" t="str">
        <f aca="false">IF(ABS(F22)&lt;=Inputs!$C$12,"TIES","INVESTIGATE")</f>
        <v>TIES</v>
      </c>
    </row>
    <row r="23" customFormat="false" ht="15" hidden="false" customHeight="true" outlineLevel="0" collapsed="false">
      <c r="B23" s="8" t="s">
        <v>410</v>
      </c>
      <c r="C23" s="7" t="s">
        <v>411</v>
      </c>
      <c r="D23" s="21" t="n">
        <f aca="false">SUMIF($C$7:$C$16,"Fit-out",$N$7:$N$16)</f>
        <v>71200000</v>
      </c>
      <c r="E23" s="12" t="n">
        <f aca="false">-SUMIF(TB!$A$6:$A$46,1510,TB!$F$6:$F$46)</f>
        <v>71200000</v>
      </c>
      <c r="F23" s="21" t="n">
        <f aca="false">ROUND(D23-E23,2)</f>
        <v>0</v>
      </c>
      <c r="G23" s="27" t="str">
        <f aca="false">IF(ABS(F23)&lt;=Inputs!$C$12,"TIES","INVESTIGATE")</f>
        <v>TIES</v>
      </c>
    </row>
    <row r="24" customFormat="false" ht="15" hidden="false" customHeight="true" outlineLevel="0" collapsed="false">
      <c r="B24" s="8" t="s">
        <v>412</v>
      </c>
      <c r="C24" s="7" t="s">
        <v>413</v>
      </c>
      <c r="D24" s="21" t="n">
        <f aca="false">SUMIF($C$7:$C$16,"IT",$N$7:$N$16)</f>
        <v>13400000</v>
      </c>
      <c r="E24" s="12" t="n">
        <f aca="false">-SUMIF(TB!$A$6:$A$46,1515,TB!$F$6:$F$46)</f>
        <v>13400000</v>
      </c>
      <c r="F24" s="21" t="n">
        <f aca="false">ROUND(D24-E24,2)</f>
        <v>0</v>
      </c>
      <c r="G24" s="27" t="str">
        <f aca="false">IF(ABS(F24)&lt;=Inputs!$C$12,"TIES","INVESTIGATE")</f>
        <v>TIES</v>
      </c>
    </row>
    <row r="25" customFormat="false" ht="15" hidden="false" customHeight="true" outlineLevel="0" collapsed="false">
      <c r="B25" s="8" t="s">
        <v>414</v>
      </c>
      <c r="C25" s="7" t="s">
        <v>415</v>
      </c>
      <c r="D25" s="21" t="n">
        <f aca="false">G17</f>
        <v>167400000</v>
      </c>
      <c r="E25" s="12" t="n">
        <f aca="false">SUMIF(TB!$A$6:$A$46,1500,TB!$E$6:$E$46)+SUMIF(TB!$A$6:$A$46,1505,TB!$E$6:$E$46)</f>
        <v>167400000</v>
      </c>
      <c r="F25" s="21" t="n">
        <f aca="false">ROUND(D25-E25,2)</f>
        <v>0</v>
      </c>
      <c r="G25" s="27" t="str">
        <f aca="false">IF(ABS(F25)&lt;=Inputs!$C$12,"TIES","INVESTIGATE")</f>
        <v>TIES</v>
      </c>
    </row>
    <row r="26" customFormat="false" ht="15" hidden="false" customHeight="true" outlineLevel="0" collapsed="false">
      <c r="B26" s="8" t="s">
        <v>416</v>
      </c>
      <c r="C26" s="7" t="s">
        <v>417</v>
      </c>
      <c r="D26" s="21" t="n">
        <f aca="false">K17</f>
        <v>82950000</v>
      </c>
      <c r="E26" s="12" t="n">
        <f aca="false">-(SUMIF(TB!$A$6:$A$46,1510,TB!$E$6:$E$46)+SUMIF(TB!$A$6:$A$46,1515,TB!$E$6:$E$46))</f>
        <v>82950000</v>
      </c>
      <c r="F26" s="21" t="n">
        <f aca="false">ROUND(D26-E26,2)</f>
        <v>0</v>
      </c>
      <c r="G26" s="27" t="str">
        <f aca="false">IF(ABS(F26)&lt;=Inputs!$C$12,"TIES","INVESTIGATE")</f>
        <v>TIES</v>
      </c>
    </row>
    <row r="27" customFormat="false" ht="15" hidden="false" customHeight="true" outlineLevel="0" collapsed="false">
      <c r="B27" s="8" t="s">
        <v>418</v>
      </c>
      <c r="C27" s="7" t="s">
        <v>407</v>
      </c>
      <c r="D27" s="21" t="n">
        <f aca="false">SUMIF($C$7:$C$16,"Fit-out",$H$7:$H$16)</f>
        <v>1700000</v>
      </c>
      <c r="E27" s="12" t="n">
        <f aca="false">SUMIF(TB!$A$6:$A$46,1500,TB!$G$6:$G$46)</f>
        <v>1700000</v>
      </c>
      <c r="F27" s="21" t="n">
        <f aca="false">ROUND(D27-E27,2)</f>
        <v>0</v>
      </c>
      <c r="G27" s="27" t="str">
        <f aca="false">IF(ABS(F27)&lt;=Inputs!$C$12,"TIES","INVESTIGATE")</f>
        <v>TIES</v>
      </c>
    </row>
    <row r="28" customFormat="false" ht="15" hidden="false" customHeight="true" outlineLevel="0" collapsed="false">
      <c r="B28" s="8" t="s">
        <v>419</v>
      </c>
      <c r="C28" s="7" t="s">
        <v>409</v>
      </c>
      <c r="D28" s="21" t="n">
        <f aca="false">SUMIF($C$7:$C$16,"IT",$H$7:$H$16)</f>
        <v>400000</v>
      </c>
      <c r="E28" s="12" t="n">
        <f aca="false">SUMIF(TB!$A$6:$A$46,1505,TB!$G$6:$G$46)</f>
        <v>400000</v>
      </c>
      <c r="F28" s="21" t="n">
        <f aca="false">ROUND(D28-E28,2)</f>
        <v>0</v>
      </c>
      <c r="G28" s="27" t="str">
        <f aca="false">IF(ABS(F28)&lt;=Inputs!$C$12,"TIES","INVESTIGATE")</f>
        <v>TIES</v>
      </c>
    </row>
    <row r="29" customFormat="false" ht="15" hidden="false" customHeight="true" outlineLevel="0" collapsed="false">
      <c r="B29" s="8" t="s">
        <v>420</v>
      </c>
      <c r="C29" s="7" t="s">
        <v>421</v>
      </c>
      <c r="D29" s="21" t="n">
        <f aca="false">L17</f>
        <v>1650000</v>
      </c>
      <c r="E29" s="12" t="n">
        <f aca="false">SUMIF(TB!$A$6:$A$46,6120,TB!$G$6:$G$46)</f>
        <v>1650000</v>
      </c>
      <c r="F29" s="21" t="n">
        <f aca="false">ROUND(D29-E29,2)</f>
        <v>0</v>
      </c>
      <c r="G29" s="27" t="str">
        <f aca="false">IF(ABS(F29)&lt;=Inputs!$C$12,"TIES","INVESTIGATE")</f>
        <v>TIES</v>
      </c>
    </row>
    <row r="30" customFormat="false" ht="15" hidden="false" customHeight="true" outlineLevel="0" collapsed="false">
      <c r="B30" s="8" t="s">
        <v>422</v>
      </c>
      <c r="C30" s="7" t="s">
        <v>423</v>
      </c>
      <c r="D30" s="21" t="n">
        <f aca="false">H17</f>
        <v>2100000</v>
      </c>
      <c r="E30" s="12" t="n">
        <f aca="false">BAS_IAS!D17/(1+BAS_IAS!$D$5)</f>
        <v>2100000</v>
      </c>
      <c r="F30" s="21" t="n">
        <f aca="false">ROUND(D30-E30,2)</f>
        <v>0</v>
      </c>
      <c r="G30" s="27" t="str">
        <f aca="false">IF(ABS(F30)&lt;=Inputs!$C$12,"TIES","INVESTIGATE")</f>
        <v>TIES</v>
      </c>
    </row>
    <row r="31" customFormat="false" ht="15" hidden="false" customHeight="true" outlineLevel="0" collapsed="false">
      <c r="B31" s="4" t="s">
        <v>424</v>
      </c>
      <c r="F31" s="22" t="n">
        <f aca="false">SUMPRODUCT(ABS(F21:F30))</f>
        <v>0</v>
      </c>
    </row>
    <row r="33" customFormat="false" ht="15" hidden="false" customHeight="true" outlineLevel="0" collapsed="false">
      <c r="B33" s="4" t="s">
        <v>425</v>
      </c>
    </row>
    <row r="34" customFormat="false" ht="15" hidden="false" customHeight="true" outlineLevel="0" collapsed="false">
      <c r="B34" s="8" t="s">
        <v>426</v>
      </c>
      <c r="D34" s="21" t="n">
        <f aca="false">G17-K17</f>
        <v>84450000</v>
      </c>
    </row>
    <row r="35" customFormat="false" ht="15" hidden="false" customHeight="true" outlineLevel="0" collapsed="false">
      <c r="B35" s="8" t="s">
        <v>427</v>
      </c>
      <c r="D35" s="21" t="n">
        <f aca="false">H17</f>
        <v>2100000</v>
      </c>
    </row>
    <row r="36" customFormat="false" ht="15" hidden="false" customHeight="true" outlineLevel="0" collapsed="false">
      <c r="B36" s="8" t="s">
        <v>428</v>
      </c>
      <c r="D36" s="21" t="n">
        <f aca="false">-L17</f>
        <v>-1650000</v>
      </c>
    </row>
    <row r="37" customFormat="false" ht="15" hidden="false" customHeight="true" outlineLevel="0" collapsed="false">
      <c r="B37" s="8" t="s">
        <v>429</v>
      </c>
      <c r="D37" s="21" t="n">
        <f aca="false">-(I17-M17)</f>
        <v>-0</v>
      </c>
    </row>
    <row r="38" customFormat="false" ht="15" hidden="false" customHeight="true" outlineLevel="0" collapsed="false">
      <c r="B38" s="4" t="s">
        <v>430</v>
      </c>
      <c r="D38" s="22" t="n">
        <f aca="false">SUM(D34:D37)</f>
        <v>84900000</v>
      </c>
    </row>
    <row r="39" customFormat="false" ht="15" hidden="false" customHeight="true" outlineLevel="0" collapsed="false">
      <c r="B39" s="8" t="s">
        <v>431</v>
      </c>
      <c r="D39" s="21" t="n">
        <f aca="false">ROUND(D38-O17,2)</f>
        <v>0</v>
      </c>
      <c r="E39" s="4" t="str">
        <f aca="false">IF(D39=0,"OK","Review")</f>
        <v>OK</v>
      </c>
    </row>
    <row r="41" customFormat="false" ht="15" hidden="false" customHeight="true" outlineLevel="0" collapsed="false">
      <c r="B41" s="4" t="s">
        <v>432</v>
      </c>
    </row>
    <row r="42" customFormat="false" ht="15" hidden="false" customHeight="true" outlineLevel="0" collapsed="false">
      <c r="B42" s="8" t="s">
        <v>433</v>
      </c>
      <c r="D42" s="21" t="n">
        <f aca="false">O17</f>
        <v>84900000</v>
      </c>
    </row>
    <row r="43" customFormat="false" ht="15" hidden="false" customHeight="true" outlineLevel="0" collapsed="false">
      <c r="B43" s="8" t="s">
        <v>434</v>
      </c>
      <c r="D43" s="21" t="n">
        <f aca="false">S17</f>
        <v>76709083.3333333</v>
      </c>
    </row>
    <row r="44" customFormat="false" ht="15" hidden="false" customHeight="true" outlineLevel="0" collapsed="false">
      <c r="B44" s="8" t="s">
        <v>435</v>
      </c>
      <c r="D44" s="21" t="n">
        <f aca="false">D42-D43</f>
        <v>8190916.66666667</v>
      </c>
    </row>
    <row r="45" customFormat="false" ht="15" hidden="false" customHeight="true" outlineLevel="0" collapsed="false">
      <c r="B45" s="4" t="s">
        <v>436</v>
      </c>
      <c r="D45" s="22" t="n">
        <f aca="false">D44*$C$4</f>
        <v>2457275</v>
      </c>
    </row>
    <row r="47" customFormat="false" ht="15" hidden="false" customHeight="true" outlineLevel="0" collapsed="false">
      <c r="B47" s="4" t="s">
        <v>437</v>
      </c>
    </row>
    <row r="48" customFormat="false" ht="15" hidden="false" customHeight="true" outlineLevel="0" collapsed="false">
      <c r="B48" s="3" t="s">
        <v>438</v>
      </c>
    </row>
    <row r="49" customFormat="false" ht="15" hidden="false" customHeight="true" outlineLevel="0" collapsed="false">
      <c r="B49" s="3" t="s">
        <v>439</v>
      </c>
    </row>
    <row r="50" customFormat="false" ht="15" hidden="false" customHeight="true" outlineLevel="0" collapsed="false">
      <c r="B50" s="3" t="s">
        <v>440</v>
      </c>
    </row>
    <row r="51" customFormat="false" ht="15" hidden="false" customHeight="true" outlineLevel="0" collapsed="false">
      <c r="B51" s="3" t="s">
        <v>441</v>
      </c>
    </row>
    <row r="52" customFormat="false" ht="15" hidden="false" customHeight="true" outlineLevel="0" collapsed="false">
      <c r="B52" s="3" t="s">
        <v>442</v>
      </c>
    </row>
    <row r="53" customFormat="false" ht="15" hidden="false" customHeight="true" outlineLevel="0" collapsed="false">
      <c r="B53" s="3" t="s">
        <v>443</v>
      </c>
    </row>
    <row r="55" customFormat="false" ht="15" hidden="false" customHeight="true" outlineLevel="0" collapsed="false">
      <c r="B55" s="4" t="s">
        <v>279</v>
      </c>
    </row>
    <row r="56" customFormat="false" ht="15" hidden="false" customHeight="true" outlineLevel="0" collapsed="false">
      <c r="B56" s="8" t="s">
        <v>71</v>
      </c>
      <c r="C56" s="9" t="str">
        <f aca="false">Inputs!$C$6</f>
        <v>Bhagyashree Amblimath</v>
      </c>
      <c r="G56" s="19" t="n">
        <v>46300</v>
      </c>
    </row>
    <row r="57" customFormat="false" ht="15" hidden="false" customHeight="true" outlineLevel="0" collapsed="false">
      <c r="B57" s="8" t="s">
        <v>74</v>
      </c>
      <c r="C57" s="9" t="str">
        <f aca="false">Inputs!$C$7</f>
        <v>Financial Controller (simulated)</v>
      </c>
      <c r="G57" s="34"/>
    </row>
  </sheetData>
  <conditionalFormatting sqref="G21:G30">
    <cfRule type="expression" priority="2" aboveAverage="0" equalAverage="0" bottom="0" percent="0" rank="0" text="" dxfId="0">
      <formula>G21="TIES"</formula>
    </cfRule>
    <cfRule type="expression" priority="3" aboveAverage="0" equalAverage="0" bottom="0" percent="0" rank="0" text="" dxfId="1">
      <formula>G21="INVESTIGATE"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6"/>
    <col collapsed="false" customWidth="true" hidden="false" outlineLevel="0" max="3" min="3" style="1" width="56"/>
    <col collapsed="false" customWidth="true" hidden="false" outlineLevel="0" max="8" min="4" style="1" width="18"/>
  </cols>
  <sheetData>
    <row r="1" customFormat="false" ht="17.25" hidden="false" customHeight="true" outlineLevel="0" collapsed="false">
      <c r="A1" s="2" t="s">
        <v>444</v>
      </c>
    </row>
    <row r="2" customFormat="false" ht="15" hidden="false" customHeight="true" outlineLevel="0" collapsed="false">
      <c r="A2" s="30" t="str">
        <f aca="false">Inputs!$C$3</f>
        <v>Specialty retailer (simulated, Adairs-style)</v>
      </c>
    </row>
    <row r="3" customFormat="false" ht="15" hidden="false" customHeight="true" outlineLevel="0" collapsed="false">
      <c r="A3" s="4" t="s">
        <v>243</v>
      </c>
      <c r="D3" s="26" t="n">
        <f aca="false">Inputs!$C$5</f>
        <v>46295</v>
      </c>
    </row>
    <row r="4" customFormat="false" ht="15" hidden="false" customHeight="true" outlineLevel="0" collapsed="false">
      <c r="A4" s="4" t="s">
        <v>445</v>
      </c>
      <c r="D4" s="47" t="n">
        <f aca="false">DATE(YEAR(D3),MONTH(D3)+1,21)</f>
        <v>46316</v>
      </c>
      <c r="E4" s="3" t="s">
        <v>446</v>
      </c>
    </row>
    <row r="5" customFormat="false" ht="15" hidden="false" customHeight="true" outlineLevel="0" collapsed="false">
      <c r="A5" s="4" t="s">
        <v>77</v>
      </c>
      <c r="D5" s="48" t="n">
        <f aca="false">Inputs!$C$8</f>
        <v>0.1</v>
      </c>
    </row>
    <row r="7" customFormat="false" ht="15" hidden="false" customHeight="true" outlineLevel="0" collapsed="false">
      <c r="A7" s="6" t="s">
        <v>257</v>
      </c>
      <c r="B7" s="6" t="s">
        <v>447</v>
      </c>
      <c r="C7" s="6" t="s">
        <v>448</v>
      </c>
      <c r="D7" s="6" t="s">
        <v>260</v>
      </c>
    </row>
    <row r="8" customFormat="false" ht="15" hidden="false" customHeight="true" outlineLevel="0" collapsed="false">
      <c r="A8" s="8" t="s">
        <v>449</v>
      </c>
      <c r="B8" s="8" t="s">
        <v>450</v>
      </c>
      <c r="C8" s="3" t="s">
        <v>451</v>
      </c>
      <c r="D8" s="12" t="n">
        <f aca="false">Variance!C9</f>
        <v>50150000</v>
      </c>
    </row>
    <row r="9" customFormat="false" ht="15" hidden="false" customHeight="true" outlineLevel="0" collapsed="false">
      <c r="A9" s="8" t="s">
        <v>452</v>
      </c>
      <c r="B9" s="8" t="s">
        <v>453</v>
      </c>
      <c r="C9" s="3" t="s">
        <v>454</v>
      </c>
      <c r="D9" s="20" t="n">
        <v>-143000</v>
      </c>
    </row>
    <row r="10" customFormat="false" ht="15" hidden="false" customHeight="true" outlineLevel="0" collapsed="false">
      <c r="A10" s="8" t="s">
        <v>455</v>
      </c>
      <c r="B10" s="8" t="s">
        <v>456</v>
      </c>
      <c r="C10" s="3" t="s">
        <v>457</v>
      </c>
      <c r="D10" s="20" t="n">
        <v>0</v>
      </c>
    </row>
    <row r="11" customFormat="false" ht="15" hidden="false" customHeight="true" outlineLevel="0" collapsed="false">
      <c r="A11" s="4" t="s">
        <v>458</v>
      </c>
      <c r="B11" s="4" t="s">
        <v>459</v>
      </c>
      <c r="D11" s="22" t="n">
        <f aca="false">D8+D9-D10</f>
        <v>50007000</v>
      </c>
    </row>
    <row r="13" customFormat="false" ht="15" hidden="false" customHeight="true" outlineLevel="0" collapsed="false">
      <c r="A13" s="6" t="s">
        <v>460</v>
      </c>
      <c r="B13" s="6" t="s">
        <v>369</v>
      </c>
      <c r="C13" s="6" t="s">
        <v>448</v>
      </c>
      <c r="D13" s="6" t="s">
        <v>260</v>
      </c>
    </row>
    <row r="14" customFormat="false" ht="15" hidden="false" customHeight="true" outlineLevel="0" collapsed="false">
      <c r="A14" s="8" t="s">
        <v>461</v>
      </c>
      <c r="B14" s="8" t="s">
        <v>462</v>
      </c>
      <c r="C14" s="3" t="s">
        <v>463</v>
      </c>
      <c r="D14" s="21" t="n">
        <f aca="false">D11*(1+$D$5)+D10</f>
        <v>55007700</v>
      </c>
    </row>
    <row r="15" customFormat="false" ht="15" hidden="false" customHeight="true" outlineLevel="0" collapsed="false">
      <c r="A15" s="8" t="s">
        <v>464</v>
      </c>
      <c r="B15" s="8" t="s">
        <v>465</v>
      </c>
      <c r="C15" s="3" t="s">
        <v>466</v>
      </c>
      <c r="D15" s="20" t="n">
        <v>0</v>
      </c>
    </row>
    <row r="16" customFormat="false" ht="15" hidden="false" customHeight="true" outlineLevel="0" collapsed="false">
      <c r="A16" s="8" t="s">
        <v>467</v>
      </c>
      <c r="B16" s="8" t="s">
        <v>468</v>
      </c>
      <c r="C16" s="3" t="s">
        <v>469</v>
      </c>
      <c r="D16" s="21" t="n">
        <f aca="false">D10</f>
        <v>0</v>
      </c>
    </row>
    <row r="17" customFormat="false" ht="15" hidden="false" customHeight="true" outlineLevel="0" collapsed="false">
      <c r="A17" s="8" t="s">
        <v>470</v>
      </c>
      <c r="B17" s="8" t="s">
        <v>471</v>
      </c>
      <c r="C17" s="3" t="s">
        <v>472</v>
      </c>
      <c r="D17" s="12" t="n">
        <f aca="false">(SUMIF(TB!$A$6:$A$46,1500,TB!$G$6:$G$46)+SUMIF(TB!$A$6:$A$46,1505,TB!$G$6:$G$46))*(1+$D$5)</f>
        <v>2310000</v>
      </c>
    </row>
    <row r="18" customFormat="false" ht="15" hidden="false" customHeight="true" outlineLevel="0" collapsed="false">
      <c r="A18" s="8" t="s">
        <v>473</v>
      </c>
      <c r="B18" s="8" t="s">
        <v>474</v>
      </c>
      <c r="C18" s="3" t="s">
        <v>475</v>
      </c>
      <c r="D18" s="21" t="n">
        <f aca="false">D19*(1+$D$5)</f>
        <v>23632620</v>
      </c>
    </row>
    <row r="19" customFormat="false" ht="15" hidden="false" customHeight="true" outlineLevel="0" collapsed="false">
      <c r="A19" s="8" t="s">
        <v>476</v>
      </c>
      <c r="B19" s="8" t="s">
        <v>477</v>
      </c>
      <c r="C19" s="3" t="s">
        <v>478</v>
      </c>
      <c r="D19" s="49" t="n">
        <v>21484200</v>
      </c>
    </row>
    <row r="21" customFormat="false" ht="15" hidden="false" customHeight="true" outlineLevel="0" collapsed="false">
      <c r="A21" s="4" t="s">
        <v>479</v>
      </c>
      <c r="B21" s="4" t="s">
        <v>480</v>
      </c>
      <c r="C21" s="3" t="s">
        <v>481</v>
      </c>
      <c r="D21" s="32" t="n">
        <f aca="false">ROUND((D14-D15-D16)*$D$5/(1+$D$5),0)</f>
        <v>5000700</v>
      </c>
    </row>
    <row r="22" customFormat="false" ht="15" hidden="false" customHeight="true" outlineLevel="0" collapsed="false">
      <c r="A22" s="4" t="s">
        <v>482</v>
      </c>
      <c r="B22" s="4" t="s">
        <v>483</v>
      </c>
      <c r="C22" s="3" t="s">
        <v>484</v>
      </c>
      <c r="D22" s="32" t="n">
        <f aca="false">ROUND((D17+D18)*$D$5/(1+$D$5),0)</f>
        <v>2358420</v>
      </c>
    </row>
    <row r="23" customFormat="false" ht="15" hidden="false" customHeight="true" outlineLevel="0" collapsed="false">
      <c r="B23" s="4" t="s">
        <v>485</v>
      </c>
      <c r="D23" s="22" t="n">
        <f aca="false">D21-D22</f>
        <v>2642280</v>
      </c>
    </row>
    <row r="24" customFormat="false" ht="15" hidden="false" customHeight="true" outlineLevel="0" collapsed="false">
      <c r="A24" s="4" t="s">
        <v>486</v>
      </c>
      <c r="B24" s="4" t="s">
        <v>487</v>
      </c>
      <c r="C24" s="3" t="s">
        <v>488</v>
      </c>
      <c r="D24" s="12" t="n">
        <f aca="false">SUMIF(TB!$A$6:$A$46,6000,TB!$G$6:$G$46)+SUMIF(TB!$A$6:$A$46,6010,TB!$G$6:$G$46)+SUMIF(TB!$A$6:$A$46,2120,TB!$G$6:$G$46)+SUMIF(TB!$A$6:$A$46,2130,TB!$G$6:$G$46)</f>
        <v>11800000</v>
      </c>
    </row>
    <row r="25" customFormat="false" ht="15" hidden="false" customHeight="true" outlineLevel="0" collapsed="false">
      <c r="A25" s="4" t="s">
        <v>489</v>
      </c>
      <c r="B25" s="4" t="s">
        <v>490</v>
      </c>
      <c r="C25" s="3" t="s">
        <v>491</v>
      </c>
      <c r="D25" s="12" t="n">
        <f aca="false">-SUMIF(TB!$A$6:$A$46,2100,TB!$F$6:$F$46)</f>
        <v>1950000</v>
      </c>
    </row>
    <row r="26" customFormat="false" ht="15" hidden="false" customHeight="true" outlineLevel="0" collapsed="false">
      <c r="B26" s="4" t="s">
        <v>492</v>
      </c>
      <c r="D26" s="22" t="n">
        <f aca="false">D23+D25</f>
        <v>4592280</v>
      </c>
    </row>
    <row r="27" customFormat="false" ht="15" hidden="false" customHeight="true" outlineLevel="0" collapsed="false">
      <c r="A27" s="3" t="s">
        <v>493</v>
      </c>
    </row>
    <row r="29" customFormat="false" ht="15" hidden="false" customHeight="true" outlineLevel="0" collapsed="false">
      <c r="A29" s="6" t="s">
        <v>257</v>
      </c>
      <c r="B29" s="6" t="s">
        <v>494</v>
      </c>
      <c r="C29" s="6" t="s">
        <v>495</v>
      </c>
      <c r="D29" s="6" t="s">
        <v>405</v>
      </c>
      <c r="E29" s="6" t="s">
        <v>496</v>
      </c>
      <c r="F29" s="6" t="s">
        <v>232</v>
      </c>
      <c r="G29" s="6" t="s">
        <v>497</v>
      </c>
      <c r="H29" s="6" t="s">
        <v>498</v>
      </c>
    </row>
    <row r="30" customFormat="false" ht="15" hidden="false" customHeight="true" outlineLevel="0" collapsed="false">
      <c r="A30" s="8" t="s">
        <v>499</v>
      </c>
      <c r="B30" s="8" t="s">
        <v>500</v>
      </c>
      <c r="C30" s="3" t="s">
        <v>501</v>
      </c>
      <c r="D30" s="12" t="n">
        <f aca="false">-SUMIF(TB!$A$6:$A$46,2300,TB!$F$6:$F$46)</f>
        <v>5015000</v>
      </c>
      <c r="E30" s="21" t="n">
        <f aca="false">D21</f>
        <v>5000700</v>
      </c>
      <c r="F30" s="21" t="n">
        <f aca="false">D30-E30</f>
        <v>14300</v>
      </c>
      <c r="G30" s="21" t="n">
        <f aca="false">-D9*$D$5</f>
        <v>14300</v>
      </c>
      <c r="H30" s="21" t="n">
        <f aca="false">ROUND(F30-G30,2)</f>
        <v>0</v>
      </c>
    </row>
    <row r="31" customFormat="false" ht="15" hidden="false" customHeight="true" outlineLevel="0" collapsed="false">
      <c r="A31" s="8" t="s">
        <v>502</v>
      </c>
      <c r="B31" s="8" t="s">
        <v>503</v>
      </c>
      <c r="C31" s="3" t="s">
        <v>504</v>
      </c>
      <c r="D31" s="12" t="n">
        <f aca="false">SUMIF(TB!$A$6:$A$46,2310,TB!$F$6:$F$46)</f>
        <v>2350000</v>
      </c>
      <c r="E31" s="21" t="n">
        <f aca="false">D22</f>
        <v>2358420</v>
      </c>
      <c r="F31" s="21" t="n">
        <f aca="false">D31-E31</f>
        <v>-8420</v>
      </c>
      <c r="G31" s="12" t="n">
        <f aca="false">Rec_GST!D22</f>
        <v>-8420</v>
      </c>
      <c r="H31" s="21" t="n">
        <f aca="false">ROUND(F31-G31,2)</f>
        <v>0</v>
      </c>
    </row>
    <row r="32" customFormat="false" ht="15" hidden="false" customHeight="true" outlineLevel="0" collapsed="false">
      <c r="A32" s="8" t="s">
        <v>505</v>
      </c>
      <c r="B32" s="8" t="s">
        <v>506</v>
      </c>
      <c r="C32" s="3" t="s">
        <v>507</v>
      </c>
      <c r="D32" s="12" t="n">
        <f aca="false">-SUMIF(TB!$A$6:$A$46,2100,TB!$F$6:$F$46)</f>
        <v>1950000</v>
      </c>
      <c r="E32" s="21" t="n">
        <f aca="false">D25</f>
        <v>1950000</v>
      </c>
      <c r="F32" s="21" t="n">
        <f aca="false">D32-E32</f>
        <v>0</v>
      </c>
      <c r="G32" s="20" t="n">
        <v>0</v>
      </c>
      <c r="H32" s="21" t="n">
        <f aca="false">ROUND(F32-G32,2)</f>
        <v>0</v>
      </c>
    </row>
    <row r="33" customFormat="false" ht="15" hidden="false" customHeight="true" outlineLevel="0" collapsed="false">
      <c r="B33" s="4" t="s">
        <v>240</v>
      </c>
      <c r="D33" s="22" t="n">
        <f aca="false">SUM(D30:D32)</f>
        <v>9315000</v>
      </c>
      <c r="E33" s="22" t="n">
        <f aca="false">SUM(E30:E32)</f>
        <v>9309120</v>
      </c>
      <c r="F33" s="22" t="n">
        <f aca="false">SUM(F30:F32)</f>
        <v>5880</v>
      </c>
      <c r="G33" s="22" t="n">
        <f aca="false">SUM(G30:G32)</f>
        <v>5880</v>
      </c>
      <c r="H33" s="22" t="n">
        <f aca="false">SUM(H30:H32)</f>
        <v>0</v>
      </c>
    </row>
    <row r="35" customFormat="false" ht="15" hidden="false" customHeight="true" outlineLevel="0" collapsed="false">
      <c r="A35" s="6"/>
      <c r="B35" s="6" t="s">
        <v>508</v>
      </c>
      <c r="C35" s="6" t="s">
        <v>509</v>
      </c>
      <c r="D35" s="6" t="s">
        <v>47</v>
      </c>
      <c r="E35" s="6" t="s">
        <v>346</v>
      </c>
    </row>
    <row r="36" customFormat="false" ht="15" hidden="false" customHeight="true" outlineLevel="0" collapsed="false">
      <c r="B36" s="8" t="s">
        <v>510</v>
      </c>
      <c r="C36" s="3" t="s">
        <v>511</v>
      </c>
      <c r="D36" s="50" t="n">
        <f aca="false">IF(D11=0,0,D21/D11)</f>
        <v>0.1</v>
      </c>
      <c r="E36" s="4" t="str">
        <f aca="false">IF(ABS(D36-$D$5)&lt;0.0005,"OK","Review")</f>
        <v>OK</v>
      </c>
    </row>
    <row r="37" customFormat="false" ht="15" hidden="false" customHeight="true" outlineLevel="0" collapsed="false">
      <c r="B37" s="8" t="s">
        <v>512</v>
      </c>
      <c r="C37" s="3" t="s">
        <v>513</v>
      </c>
      <c r="D37" s="51" t="n">
        <f aca="false">IF(D21=0,0,D22/D21)</f>
        <v>0.471617973483712</v>
      </c>
    </row>
    <row r="38" customFormat="false" ht="15" hidden="false" customHeight="true" outlineLevel="0" collapsed="false">
      <c r="B38" s="8" t="s">
        <v>514</v>
      </c>
      <c r="C38" s="3" t="s">
        <v>515</v>
      </c>
      <c r="D38" s="51" t="n">
        <f aca="false">IF(D24=0,0,D25/D24)</f>
        <v>0.165254237288136</v>
      </c>
    </row>
    <row r="39" customFormat="false" ht="15" hidden="false" customHeight="true" outlineLevel="0" collapsed="false">
      <c r="B39" s="8" t="s">
        <v>516</v>
      </c>
      <c r="C39" s="3" t="s">
        <v>517</v>
      </c>
      <c r="D39" s="50" t="n">
        <f aca="false">IF(D8=0,0,D11/D8-1)</f>
        <v>-0.00285144566301099</v>
      </c>
    </row>
    <row r="41" customFormat="false" ht="15" hidden="false" customHeight="true" outlineLevel="0" collapsed="false">
      <c r="A41" s="4" t="s">
        <v>518</v>
      </c>
    </row>
    <row r="42" customFormat="false" ht="15" hidden="false" customHeight="true" outlineLevel="0" collapsed="false">
      <c r="A42" s="6" t="s">
        <v>257</v>
      </c>
      <c r="B42" s="6" t="s">
        <v>519</v>
      </c>
      <c r="C42" s="6" t="s">
        <v>448</v>
      </c>
      <c r="D42" s="6" t="s">
        <v>260</v>
      </c>
    </row>
    <row r="43" customFormat="false" ht="15" hidden="false" customHeight="true" outlineLevel="0" collapsed="false">
      <c r="A43" s="8" t="s">
        <v>486</v>
      </c>
      <c r="B43" s="8" t="s">
        <v>487</v>
      </c>
      <c r="C43" s="3" t="s">
        <v>520</v>
      </c>
      <c r="D43" s="20" t="n">
        <v>185000</v>
      </c>
    </row>
    <row r="44" customFormat="false" ht="15" hidden="false" customHeight="true" outlineLevel="0" collapsed="false">
      <c r="A44" s="8" t="s">
        <v>489</v>
      </c>
      <c r="B44" s="8" t="s">
        <v>490</v>
      </c>
      <c r="C44" s="3" t="s">
        <v>521</v>
      </c>
      <c r="D44" s="20" t="n">
        <v>31450</v>
      </c>
    </row>
    <row r="45" customFormat="false" ht="15" hidden="false" customHeight="true" outlineLevel="0" collapsed="false">
      <c r="B45" s="8" t="s">
        <v>522</v>
      </c>
      <c r="C45" s="3" t="s">
        <v>523</v>
      </c>
      <c r="D45" s="20" t="n">
        <v>2400000</v>
      </c>
    </row>
    <row r="46" customFormat="false" ht="15" hidden="false" customHeight="true" outlineLevel="0" collapsed="false">
      <c r="B46" s="8" t="s">
        <v>524</v>
      </c>
      <c r="C46" s="3" t="s">
        <v>525</v>
      </c>
      <c r="D46" s="52" t="n">
        <v>0.015</v>
      </c>
    </row>
    <row r="47" customFormat="false" ht="15" hidden="false" customHeight="true" outlineLevel="0" collapsed="false">
      <c r="B47" s="8" t="s">
        <v>526</v>
      </c>
      <c r="D47" s="21" t="n">
        <f aca="false">ROUND(D45*D46,0)</f>
        <v>36000</v>
      </c>
    </row>
    <row r="48" customFormat="false" ht="15" hidden="false" customHeight="true" outlineLevel="0" collapsed="false">
      <c r="B48" s="4" t="s">
        <v>527</v>
      </c>
      <c r="D48" s="22" t="n">
        <f aca="false">D44+D47</f>
        <v>67450</v>
      </c>
    </row>
    <row r="50" customFormat="false" ht="15" hidden="false" customHeight="true" outlineLevel="0" collapsed="false">
      <c r="A50" s="4" t="s">
        <v>279</v>
      </c>
    </row>
    <row r="51" customFormat="false" ht="15" hidden="false" customHeight="true" outlineLevel="0" collapsed="false">
      <c r="A51" s="8" t="s">
        <v>71</v>
      </c>
      <c r="B51" s="9" t="str">
        <f aca="false">Inputs!$C$6</f>
        <v>Bhagyashree Amblimath</v>
      </c>
      <c r="D51" s="19" t="n">
        <v>46300</v>
      </c>
    </row>
    <row r="52" customFormat="false" ht="15" hidden="false" customHeight="true" outlineLevel="0" collapsed="false">
      <c r="A52" s="8" t="s">
        <v>74</v>
      </c>
      <c r="B52" s="9" t="str">
        <f aca="false">Inputs!$C$7</f>
        <v>Financial Controller (simulated)</v>
      </c>
      <c r="D52" s="34"/>
    </row>
    <row r="53" customFormat="false" ht="15" hidden="false" customHeight="true" outlineLevel="0" collapsed="false">
      <c r="A53" s="8" t="s">
        <v>528</v>
      </c>
      <c r="D53" s="34"/>
    </row>
  </sheetData>
  <conditionalFormatting sqref="E36">
    <cfRule type="expression" priority="2" aboveAverage="0" equalAverage="0" bottom="0" percent="0" rank="0" text="" dxfId="5">
      <formula>$E$36="Review"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O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4" min="4" style="1" width="7"/>
    <col collapsed="false" customWidth="true" hidden="false" outlineLevel="0" max="5" min="5" style="1" width="15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9" min="8" style="1" width="15"/>
    <col collapsed="false" customWidth="true" hidden="false" outlineLevel="0" max="10" min="10" style="1" width="10"/>
    <col collapsed="false" customWidth="true" hidden="false" outlineLevel="0" max="11" min="11" style="1" width="16"/>
    <col collapsed="false" customWidth="true" hidden="false" outlineLevel="0" max="12" min="12" style="1" width="15"/>
    <col collapsed="false" customWidth="true" hidden="false" outlineLevel="0" max="13" min="13" style="1" width="13"/>
    <col collapsed="false" customWidth="true" hidden="false" outlineLevel="0" max="14" min="14" style="1" width="16"/>
    <col collapsed="false" customWidth="true" hidden="false" outlineLevel="0" max="15" min="15" style="1" width="10"/>
  </cols>
  <sheetData>
    <row r="1" customFormat="false" ht="17.25" hidden="false" customHeight="true" outlineLevel="0" collapsed="false">
      <c r="A1" s="2" t="s">
        <v>529</v>
      </c>
    </row>
    <row r="2" customFormat="false" ht="15" hidden="false" customHeight="true" outlineLevel="0" collapsed="false">
      <c r="A2" s="3" t="s">
        <v>530</v>
      </c>
    </row>
    <row r="3" customFormat="false" ht="15" hidden="false" customHeight="true" outlineLevel="0" collapsed="false">
      <c r="A3" s="30" t="str">
        <f aca="false">Inputs!$C$3</f>
        <v>Specialty retailer (simulated, Adairs-style)</v>
      </c>
    </row>
    <row r="4" customFormat="false" ht="15" hidden="false" customHeight="true" outlineLevel="0" collapsed="false">
      <c r="A4" s="4" t="s">
        <v>531</v>
      </c>
      <c r="E4" s="53" t="n">
        <v>46113</v>
      </c>
      <c r="F4" s="3" t="s">
        <v>476</v>
      </c>
    </row>
    <row r="5" customFormat="false" ht="15" hidden="false" customHeight="true" outlineLevel="0" collapsed="false">
      <c r="A5" s="4" t="s">
        <v>532</v>
      </c>
      <c r="E5" s="47" t="n">
        <f aca="false">DATE(YEAR(E4)+1,3,31)</f>
        <v>46477</v>
      </c>
    </row>
    <row r="6" customFormat="false" ht="15" hidden="false" customHeight="true" outlineLevel="0" collapsed="false">
      <c r="A6" s="4" t="s">
        <v>533</v>
      </c>
      <c r="E6" s="33" t="n">
        <f aca="false">E5-E4+1</f>
        <v>365</v>
      </c>
    </row>
    <row r="7" customFormat="false" ht="15" hidden="false" customHeight="true" outlineLevel="0" collapsed="false">
      <c r="A7" s="4" t="s">
        <v>243</v>
      </c>
      <c r="E7" s="26" t="n">
        <f aca="false">Inputs!$C$5</f>
        <v>46295</v>
      </c>
    </row>
    <row r="8" customFormat="false" ht="15" hidden="false" customHeight="true" outlineLevel="0" collapsed="false">
      <c r="A8" s="4" t="s">
        <v>534</v>
      </c>
      <c r="E8" s="33" t="n">
        <f aca="false">(YEAR(E7)-YEAR(E4))*12+MONTH(E7)-MONTH(E4)+1</f>
        <v>6</v>
      </c>
    </row>
    <row r="9" customFormat="false" ht="15" hidden="false" customHeight="true" outlineLevel="0" collapsed="false">
      <c r="A9" s="4" t="s">
        <v>535</v>
      </c>
      <c r="E9" s="54" t="n">
        <v>0.47</v>
      </c>
      <c r="F9" s="3" t="s">
        <v>536</v>
      </c>
    </row>
    <row r="10" customFormat="false" ht="15" hidden="false" customHeight="true" outlineLevel="0" collapsed="false">
      <c r="A10" s="4" t="s">
        <v>537</v>
      </c>
      <c r="E10" s="55" t="n">
        <v>2.0802</v>
      </c>
      <c r="F10" s="3" t="s">
        <v>538</v>
      </c>
    </row>
    <row r="11" customFormat="false" ht="15" hidden="false" customHeight="true" outlineLevel="0" collapsed="false">
      <c r="A11" s="4" t="s">
        <v>539</v>
      </c>
      <c r="E11" s="55" t="n">
        <v>1.8868</v>
      </c>
      <c r="F11" s="3" t="s">
        <v>540</v>
      </c>
    </row>
    <row r="12" customFormat="false" ht="15" hidden="false" customHeight="true" outlineLevel="0" collapsed="false">
      <c r="A12" s="4" t="s">
        <v>541</v>
      </c>
      <c r="E12" s="54" t="n">
        <v>0.2</v>
      </c>
      <c r="F12" s="3" t="s">
        <v>542</v>
      </c>
    </row>
    <row r="13" customFormat="false" ht="15" hidden="false" customHeight="true" outlineLevel="0" collapsed="false">
      <c r="A13" s="4" t="s">
        <v>543</v>
      </c>
      <c r="E13" s="54" t="n">
        <v>0.5</v>
      </c>
      <c r="F13" s="3" t="s">
        <v>544</v>
      </c>
    </row>
    <row r="14" customFormat="false" ht="15" hidden="false" customHeight="true" outlineLevel="0" collapsed="false">
      <c r="A14" s="4" t="s">
        <v>545</v>
      </c>
      <c r="E14" s="49" t="n">
        <v>2000</v>
      </c>
      <c r="F14" s="3" t="s">
        <v>546</v>
      </c>
    </row>
    <row r="15" customFormat="false" ht="15" hidden="false" customHeight="true" outlineLevel="0" collapsed="false">
      <c r="A15" s="4" t="s">
        <v>547</v>
      </c>
      <c r="E15" s="53" t="n">
        <v>46528</v>
      </c>
      <c r="F15" s="3" t="s">
        <v>548</v>
      </c>
    </row>
    <row r="16" customFormat="false" ht="15" hidden="false" customHeight="true" outlineLevel="0" collapsed="false">
      <c r="A16" s="4" t="s">
        <v>549</v>
      </c>
      <c r="E16" s="53" t="n">
        <v>46535</v>
      </c>
      <c r="F16" s="3" t="s">
        <v>550</v>
      </c>
    </row>
    <row r="18" customFormat="false" ht="42" hidden="false" customHeight="true" outlineLevel="0" collapsed="false">
      <c r="A18" s="6" t="s">
        <v>257</v>
      </c>
      <c r="B18" s="6" t="s">
        <v>551</v>
      </c>
      <c r="C18" s="6" t="s">
        <v>552</v>
      </c>
      <c r="D18" s="6" t="s">
        <v>91</v>
      </c>
      <c r="E18" s="6" t="s">
        <v>553</v>
      </c>
      <c r="F18" s="6" t="s">
        <v>554</v>
      </c>
      <c r="G18" s="6" t="s">
        <v>555</v>
      </c>
      <c r="H18" s="6" t="s">
        <v>556</v>
      </c>
      <c r="I18" s="6" t="s">
        <v>557</v>
      </c>
      <c r="J18" s="6" t="s">
        <v>558</v>
      </c>
      <c r="K18" s="6" t="s">
        <v>559</v>
      </c>
      <c r="L18" s="6" t="s">
        <v>560</v>
      </c>
      <c r="M18" s="6" t="s">
        <v>561</v>
      </c>
      <c r="N18" s="6" t="s">
        <v>562</v>
      </c>
      <c r="O18" s="6" t="s">
        <v>563</v>
      </c>
    </row>
    <row r="19" customFormat="false" ht="15" hidden="false" customHeight="true" outlineLevel="0" collapsed="false">
      <c r="A19" s="7" t="s">
        <v>564</v>
      </c>
      <c r="B19" s="7" t="s">
        <v>565</v>
      </c>
      <c r="C19" s="7" t="s">
        <v>566</v>
      </c>
      <c r="D19" s="25" t="n">
        <v>1</v>
      </c>
      <c r="E19" s="20" t="n">
        <v>62000</v>
      </c>
      <c r="F19" s="45" t="n">
        <v>365</v>
      </c>
      <c r="G19" s="51" t="n">
        <f aca="false">$E$12</f>
        <v>0.2</v>
      </c>
      <c r="H19" s="20" t="n">
        <v>3000</v>
      </c>
      <c r="I19" s="21" t="n">
        <f aca="false">IF(E19="","",MAX(0,E19*G19*F19/$E$6-H19))</f>
        <v>9400</v>
      </c>
      <c r="J19" s="56" t="n">
        <f aca="false">IF(D19="","",IF(D19=1,$E$10,$E$11))</f>
        <v>2.0802</v>
      </c>
      <c r="K19" s="21" t="n">
        <f aca="false">IF(I19="","",I19*J19)</f>
        <v>19553.88</v>
      </c>
      <c r="L19" s="21" t="n">
        <f aca="false">IF(K19="","",K19*$E$9)</f>
        <v>9190.3236</v>
      </c>
      <c r="M19" s="25" t="s">
        <v>567</v>
      </c>
      <c r="N19" s="21" t="n">
        <f aca="false">IF(AND(M19="Y",I19&lt;&gt;""),I19*$E$11,0)</f>
        <v>17735.92</v>
      </c>
      <c r="O19" s="4" t="str">
        <f aca="false">IF(AND(M19="Y",N19&gt;$E$14),"Report","")</f>
        <v>Report</v>
      </c>
    </row>
    <row r="20" customFormat="false" ht="15" hidden="false" customHeight="true" outlineLevel="0" collapsed="false">
      <c r="A20" s="7" t="s">
        <v>568</v>
      </c>
      <c r="B20" s="7" t="s">
        <v>569</v>
      </c>
      <c r="C20" s="7" t="s">
        <v>570</v>
      </c>
      <c r="D20" s="25" t="n">
        <v>1</v>
      </c>
      <c r="E20" s="20" t="n">
        <v>48500</v>
      </c>
      <c r="F20" s="45" t="n">
        <v>275</v>
      </c>
      <c r="G20" s="51" t="n">
        <f aca="false">$E$12</f>
        <v>0.2</v>
      </c>
      <c r="H20" s="20" t="n">
        <v>0</v>
      </c>
      <c r="I20" s="21" t="n">
        <f aca="false">IF(E20="","",MAX(0,E20*G20*F20/$E$6-H20))</f>
        <v>7308.21917808219</v>
      </c>
      <c r="J20" s="56" t="n">
        <f aca="false">IF(D20="","",IF(D20=1,$E$10,$E$11))</f>
        <v>2.0802</v>
      </c>
      <c r="K20" s="21" t="n">
        <f aca="false">IF(I20="","",I20*J20)</f>
        <v>15202.5575342466</v>
      </c>
      <c r="L20" s="21" t="n">
        <f aca="false">IF(K20="","",K20*$E$9)</f>
        <v>7145.20204109589</v>
      </c>
      <c r="M20" s="25" t="s">
        <v>567</v>
      </c>
      <c r="N20" s="21" t="n">
        <f aca="false">IF(AND(M20="Y",I20&lt;&gt;""),I20*$E$11,0)</f>
        <v>13789.1479452055</v>
      </c>
      <c r="O20" s="4" t="str">
        <f aca="false">IF(AND(M20="Y",N20&gt;$E$14),"Report","")</f>
        <v>Report</v>
      </c>
    </row>
    <row r="21" customFormat="false" ht="15" hidden="false" customHeight="true" outlineLevel="0" collapsed="false">
      <c r="A21" s="7" t="s">
        <v>571</v>
      </c>
      <c r="B21" s="7" t="s">
        <v>572</v>
      </c>
      <c r="C21" s="7" t="s">
        <v>566</v>
      </c>
      <c r="D21" s="25" t="n">
        <v>1</v>
      </c>
      <c r="E21" s="20" t="n">
        <v>71200</v>
      </c>
      <c r="F21" s="45" t="n">
        <v>365</v>
      </c>
      <c r="G21" s="51" t="n">
        <f aca="false">$E$12</f>
        <v>0.2</v>
      </c>
      <c r="H21" s="20" t="n">
        <v>4500</v>
      </c>
      <c r="I21" s="21" t="n">
        <f aca="false">IF(E21="","",MAX(0,E21*G21*F21/$E$6-H21))</f>
        <v>9740</v>
      </c>
      <c r="J21" s="56" t="n">
        <f aca="false">IF(D21="","",IF(D21=1,$E$10,$E$11))</f>
        <v>2.0802</v>
      </c>
      <c r="K21" s="21" t="n">
        <f aca="false">IF(I21="","",I21*J21)</f>
        <v>20261.148</v>
      </c>
      <c r="L21" s="21" t="n">
        <f aca="false">IF(K21="","",K21*$E$9)</f>
        <v>9522.73956</v>
      </c>
      <c r="M21" s="25" t="s">
        <v>567</v>
      </c>
      <c r="N21" s="21" t="n">
        <f aca="false">IF(AND(M21="Y",I21&lt;&gt;""),I21*$E$11,0)</f>
        <v>18377.432</v>
      </c>
      <c r="O21" s="4" t="str">
        <f aca="false">IF(AND(M21="Y",N21&gt;$E$14),"Report","")</f>
        <v>Report</v>
      </c>
    </row>
    <row r="22" customFormat="false" ht="15" hidden="false" customHeight="true" outlineLevel="0" collapsed="false">
      <c r="A22" s="7" t="s">
        <v>573</v>
      </c>
      <c r="B22" s="7" t="s">
        <v>574</v>
      </c>
      <c r="C22" s="7" t="s">
        <v>575</v>
      </c>
      <c r="D22" s="25" t="n">
        <v>1</v>
      </c>
      <c r="E22" s="20" t="n">
        <v>6400</v>
      </c>
      <c r="F22" s="28" t="n">
        <f aca="false">$E$6</f>
        <v>365</v>
      </c>
      <c r="G22" s="46" t="n">
        <v>1</v>
      </c>
      <c r="H22" s="20" t="n">
        <v>0</v>
      </c>
      <c r="I22" s="21" t="n">
        <f aca="false">IF(E22="","",MAX(0,E22*G22*F22/$E$6-H22))</f>
        <v>6400</v>
      </c>
      <c r="J22" s="56" t="n">
        <f aca="false">IF(D22="","",IF(D22=1,$E$10,$E$11))</f>
        <v>2.0802</v>
      </c>
      <c r="K22" s="21" t="n">
        <f aca="false">IF(I22="","",I22*J22)</f>
        <v>13313.28</v>
      </c>
      <c r="L22" s="21" t="n">
        <f aca="false">IF(K22="","",K22*$E$9)</f>
        <v>6257.2416</v>
      </c>
      <c r="M22" s="25" t="s">
        <v>567</v>
      </c>
      <c r="N22" s="21" t="n">
        <f aca="false">IF(AND(M22="Y",I22&lt;&gt;""),I22*$E$11,0)</f>
        <v>12075.52</v>
      </c>
      <c r="O22" s="4" t="str">
        <f aca="false">IF(AND(M22="Y",N22&gt;$E$14),"Report","")</f>
        <v>Report</v>
      </c>
    </row>
    <row r="23" customFormat="false" ht="15" hidden="false" customHeight="true" outlineLevel="0" collapsed="false">
      <c r="A23" s="7" t="s">
        <v>576</v>
      </c>
      <c r="B23" s="7" t="s">
        <v>577</v>
      </c>
      <c r="C23" s="7" t="s">
        <v>578</v>
      </c>
      <c r="D23" s="25" t="n">
        <v>2</v>
      </c>
      <c r="E23" s="20" t="n">
        <v>38000</v>
      </c>
      <c r="F23" s="28" t="n">
        <f aca="false">$E$6</f>
        <v>365</v>
      </c>
      <c r="G23" s="51" t="n">
        <f aca="false">$E$13</f>
        <v>0.5</v>
      </c>
      <c r="H23" s="20" t="n">
        <v>0</v>
      </c>
      <c r="I23" s="21" t="n">
        <f aca="false">IF(E23="","",MAX(0,E23*G23*F23/$E$6-H23))</f>
        <v>19000</v>
      </c>
      <c r="J23" s="56" t="n">
        <f aca="false">IF(D23="","",IF(D23=1,$E$10,$E$11))</f>
        <v>1.8868</v>
      </c>
      <c r="K23" s="21" t="n">
        <f aca="false">IF(I23="","",I23*J23)</f>
        <v>35849.2</v>
      </c>
      <c r="L23" s="21" t="n">
        <f aca="false">IF(K23="","",K23*$E$9)</f>
        <v>16849.124</v>
      </c>
      <c r="M23" s="25" t="s">
        <v>579</v>
      </c>
      <c r="N23" s="21" t="n">
        <f aca="false">IF(AND(M23="Y",I23&lt;&gt;""),I23*$E$11,0)</f>
        <v>0</v>
      </c>
      <c r="O23" s="4" t="str">
        <f aca="false">IF(AND(M23="Y",N23&gt;$E$14),"Report","")</f>
        <v/>
      </c>
    </row>
    <row r="24" customFormat="false" ht="15" hidden="false" customHeight="true" outlineLevel="0" collapsed="false">
      <c r="A24" s="7" t="s">
        <v>580</v>
      </c>
      <c r="B24" s="7" t="s">
        <v>577</v>
      </c>
      <c r="C24" s="7" t="s">
        <v>581</v>
      </c>
      <c r="D24" s="25" t="n">
        <v>2</v>
      </c>
      <c r="E24" s="20" t="n">
        <v>2800</v>
      </c>
      <c r="F24" s="28" t="n">
        <f aca="false">$E$6</f>
        <v>365</v>
      </c>
      <c r="G24" s="46" t="n">
        <v>1</v>
      </c>
      <c r="H24" s="20" t="n">
        <v>0</v>
      </c>
      <c r="I24" s="21" t="n">
        <f aca="false">IF(E24="","",MAX(0,E24*G24*F24/$E$6-H24))</f>
        <v>2800</v>
      </c>
      <c r="J24" s="56" t="n">
        <f aca="false">IF(D24="","",IF(D24=1,$E$10,$E$11))</f>
        <v>1.8868</v>
      </c>
      <c r="K24" s="21" t="n">
        <f aca="false">IF(I24="","",I24*J24)</f>
        <v>5283.04</v>
      </c>
      <c r="L24" s="21" t="n">
        <f aca="false">IF(K24="","",K24*$E$9)</f>
        <v>2483.0288</v>
      </c>
      <c r="M24" s="25" t="s">
        <v>579</v>
      </c>
      <c r="N24" s="21" t="n">
        <f aca="false">IF(AND(M24="Y",I24&lt;&gt;""),I24*$E$11,0)</f>
        <v>0</v>
      </c>
      <c r="O24" s="4" t="str">
        <f aca="false">IF(AND(M24="Y",N24&gt;$E$14),"Report","")</f>
        <v/>
      </c>
    </row>
    <row r="25" customFormat="false" ht="15" hidden="false" customHeight="true" outlineLevel="0" collapsed="false">
      <c r="I25" s="21" t="str">
        <f aca="false">IF(E25="","",MAX(0,E25*G25*F25/$E$6-H25))</f>
        <v/>
      </c>
      <c r="J25" s="56" t="str">
        <f aca="false">IF(D25="","",IF(D25=1,$E$10,$E$11))</f>
        <v/>
      </c>
      <c r="K25" s="21" t="str">
        <f aca="false">IF(I25="","",I25*J25)</f>
        <v/>
      </c>
      <c r="L25" s="21" t="str">
        <f aca="false">IF(K25="","",K25*$E$9)</f>
        <v/>
      </c>
      <c r="N25" s="21" t="n">
        <f aca="false">IF(AND(M25="Y",I25&lt;&gt;""),I25*$E$11,0)</f>
        <v>0</v>
      </c>
      <c r="O25" s="4" t="str">
        <f aca="false">IF(AND(M25="Y",N25&gt;$E$14),"Report","")</f>
        <v/>
      </c>
    </row>
    <row r="26" customFormat="false" ht="15" hidden="false" customHeight="true" outlineLevel="0" collapsed="false">
      <c r="I26" s="21" t="str">
        <f aca="false">IF(E26="","",MAX(0,E26*G26*F26/$E$6-H26))</f>
        <v/>
      </c>
      <c r="J26" s="56" t="str">
        <f aca="false">IF(D26="","",IF(D26=1,$E$10,$E$11))</f>
        <v/>
      </c>
      <c r="K26" s="21" t="str">
        <f aca="false">IF(I26="","",I26*J26)</f>
        <v/>
      </c>
      <c r="L26" s="21" t="str">
        <f aca="false">IF(K26="","",K26*$E$9)</f>
        <v/>
      </c>
      <c r="N26" s="21" t="n">
        <f aca="false">IF(AND(M26="Y",I26&lt;&gt;""),I26*$E$11,0)</f>
        <v>0</v>
      </c>
      <c r="O26" s="4" t="str">
        <f aca="false">IF(AND(M26="Y",N26&gt;$E$14),"Report","")</f>
        <v/>
      </c>
    </row>
    <row r="27" customFormat="false" ht="15" hidden="false" customHeight="true" outlineLevel="0" collapsed="false">
      <c r="I27" s="21" t="str">
        <f aca="false">IF(E27="","",MAX(0,E27*G27*F27/$E$6-H27))</f>
        <v/>
      </c>
      <c r="J27" s="56" t="str">
        <f aca="false">IF(D27="","",IF(D27=1,$E$10,$E$11))</f>
        <v/>
      </c>
      <c r="K27" s="21" t="str">
        <f aca="false">IF(I27="","",I27*J27)</f>
        <v/>
      </c>
      <c r="L27" s="21" t="str">
        <f aca="false">IF(K27="","",K27*$E$9)</f>
        <v/>
      </c>
      <c r="N27" s="21" t="n">
        <f aca="false">IF(AND(M27="Y",I27&lt;&gt;""),I27*$E$11,0)</f>
        <v>0</v>
      </c>
      <c r="O27" s="4" t="str">
        <f aca="false">IF(AND(M27="Y",N27&gt;$E$14),"Report","")</f>
        <v/>
      </c>
    </row>
    <row r="28" customFormat="false" ht="15" hidden="false" customHeight="true" outlineLevel="0" collapsed="false">
      <c r="I28" s="21" t="str">
        <f aca="false">IF(E28="","",MAX(0,E28*G28*F28/$E$6-H28))</f>
        <v/>
      </c>
      <c r="J28" s="56" t="str">
        <f aca="false">IF(D28="","",IF(D28=1,$E$10,$E$11))</f>
        <v/>
      </c>
      <c r="K28" s="21" t="str">
        <f aca="false">IF(I28="","",I28*J28)</f>
        <v/>
      </c>
      <c r="L28" s="21" t="str">
        <f aca="false">IF(K28="","",K28*$E$9)</f>
        <v/>
      </c>
      <c r="N28" s="21" t="n">
        <f aca="false">IF(AND(M28="Y",I28&lt;&gt;""),I28*$E$11,0)</f>
        <v>0</v>
      </c>
      <c r="O28" s="4" t="str">
        <f aca="false">IF(AND(M28="Y",N28&gt;$E$14),"Report","")</f>
        <v/>
      </c>
    </row>
    <row r="29" customFormat="false" ht="15" hidden="false" customHeight="true" outlineLevel="0" collapsed="false">
      <c r="C29" s="4" t="s">
        <v>240</v>
      </c>
      <c r="I29" s="22" t="n">
        <f aca="false">SUM(I19:I28)</f>
        <v>54648.2191780822</v>
      </c>
      <c r="K29" s="22" t="n">
        <f aca="false">SUM(K19:K28)</f>
        <v>109463.105534247</v>
      </c>
      <c r="L29" s="22" t="n">
        <f aca="false">SUM(L19:L28)</f>
        <v>51447.6596010959</v>
      </c>
      <c r="N29" s="22" t="n">
        <f aca="false">SUM(N19:N28)</f>
        <v>61978.0199452055</v>
      </c>
    </row>
    <row r="31" customFormat="false" ht="15" hidden="false" customHeight="true" outlineLevel="0" collapsed="false">
      <c r="A31" s="4" t="s">
        <v>582</v>
      </c>
    </row>
    <row r="32" customFormat="false" ht="15" hidden="false" customHeight="true" outlineLevel="0" collapsed="false">
      <c r="A32" s="8" t="s">
        <v>583</v>
      </c>
      <c r="E32" s="21" t="n">
        <f aca="false">SUMIF($D$19:$D$28,1,$I$19:$I$28)</f>
        <v>32848.2191780822</v>
      </c>
    </row>
    <row r="33" customFormat="false" ht="15" hidden="false" customHeight="true" outlineLevel="0" collapsed="false">
      <c r="A33" s="8" t="s">
        <v>584</v>
      </c>
      <c r="E33" s="21" t="n">
        <f aca="false">E32*$E$10</f>
        <v>68330.8655342466</v>
      </c>
    </row>
    <row r="34" customFormat="false" ht="15" hidden="false" customHeight="true" outlineLevel="0" collapsed="false">
      <c r="A34" s="8" t="s">
        <v>585</v>
      </c>
      <c r="E34" s="21" t="n">
        <f aca="false">SUMIF($D$19:$D$28,2,$I$19:$I$28)</f>
        <v>21800</v>
      </c>
    </row>
    <row r="35" customFormat="false" ht="15" hidden="false" customHeight="true" outlineLevel="0" collapsed="false">
      <c r="A35" s="8" t="s">
        <v>586</v>
      </c>
      <c r="E35" s="21" t="n">
        <f aca="false">E34*$E$11</f>
        <v>41132.24</v>
      </c>
    </row>
    <row r="36" customFormat="false" ht="15" hidden="false" customHeight="true" outlineLevel="0" collapsed="false">
      <c r="A36" s="4" t="s">
        <v>587</v>
      </c>
      <c r="E36" s="32" t="n">
        <f aca="false">E33+E35</f>
        <v>109463.105534247</v>
      </c>
    </row>
    <row r="37" customFormat="false" ht="15" hidden="false" customHeight="true" outlineLevel="0" collapsed="false">
      <c r="A37" s="4" t="s">
        <v>588</v>
      </c>
      <c r="E37" s="32" t="n">
        <f aca="false">E36*$E$9</f>
        <v>51447.6596010959</v>
      </c>
    </row>
    <row r="38" customFormat="false" ht="15" hidden="false" customHeight="true" outlineLevel="0" collapsed="false">
      <c r="A38" s="8" t="s">
        <v>589</v>
      </c>
      <c r="E38" s="21" t="n">
        <f aca="false">ROUND(E37-L29,2)</f>
        <v>0</v>
      </c>
      <c r="F38" s="4" t="str">
        <f aca="false">IF(E38=0,"OK","Review")</f>
        <v>OK</v>
      </c>
    </row>
    <row r="39" customFormat="false" ht="15" hidden="false" customHeight="true" outlineLevel="0" collapsed="false">
      <c r="A39" s="8" t="s">
        <v>590</v>
      </c>
      <c r="E39" s="21" t="n">
        <f aca="false">E37*$E$8/12</f>
        <v>25723.8298005479</v>
      </c>
    </row>
    <row r="40" customFormat="false" ht="15" hidden="false" customHeight="true" outlineLevel="0" collapsed="false">
      <c r="A40" s="8" t="s">
        <v>591</v>
      </c>
      <c r="E40" s="49" t="n">
        <v>0</v>
      </c>
      <c r="F40" s="3" t="s">
        <v>592</v>
      </c>
    </row>
    <row r="41" customFormat="false" ht="15" hidden="false" customHeight="true" outlineLevel="0" collapsed="false">
      <c r="A41" s="4" t="s">
        <v>593</v>
      </c>
      <c r="E41" s="32" t="n">
        <f aca="false">E39-E40</f>
        <v>25723.8298005479</v>
      </c>
    </row>
    <row r="42" customFormat="false" ht="15" hidden="false" customHeight="true" outlineLevel="0" collapsed="false">
      <c r="A42" s="8" t="s">
        <v>594</v>
      </c>
      <c r="E42" s="33" t="n">
        <f aca="false">COUNTIF($O$19:$O$28,"Report")</f>
        <v>4</v>
      </c>
    </row>
    <row r="44" customFormat="false" ht="15" hidden="false" customHeight="true" outlineLevel="0" collapsed="false">
      <c r="A44" s="4" t="s">
        <v>595</v>
      </c>
    </row>
    <row r="45" customFormat="false" ht="15" hidden="false" customHeight="true" outlineLevel="0" collapsed="false">
      <c r="A45" s="3" t="s">
        <v>596</v>
      </c>
    </row>
    <row r="46" customFormat="false" ht="15" hidden="false" customHeight="true" outlineLevel="0" collapsed="false">
      <c r="A46" s="3" t="s">
        <v>597</v>
      </c>
    </row>
    <row r="47" customFormat="false" ht="15" hidden="false" customHeight="true" outlineLevel="0" collapsed="false">
      <c r="A47" s="3" t="s">
        <v>598</v>
      </c>
    </row>
    <row r="48" customFormat="false" ht="15" hidden="false" customHeight="true" outlineLevel="0" collapsed="false">
      <c r="A48" s="3" t="s">
        <v>599</v>
      </c>
    </row>
    <row r="49" customFormat="false" ht="15" hidden="false" customHeight="true" outlineLevel="0" collapsed="false">
      <c r="A49" s="3" t="s">
        <v>600</v>
      </c>
    </row>
    <row r="50" customFormat="false" ht="15" hidden="false" customHeight="true" outlineLevel="0" collapsed="false">
      <c r="A50" s="3" t="s">
        <v>601</v>
      </c>
    </row>
    <row r="52" customFormat="false" ht="15" hidden="false" customHeight="true" outlineLevel="0" collapsed="false">
      <c r="A52" s="4" t="s">
        <v>279</v>
      </c>
    </row>
    <row r="53" customFormat="false" ht="15" hidden="false" customHeight="true" outlineLevel="0" collapsed="false">
      <c r="A53" s="8" t="s">
        <v>71</v>
      </c>
      <c r="C53" s="9" t="str">
        <f aca="false">Inputs!$C$6</f>
        <v>Bhagyashree Amblimath</v>
      </c>
      <c r="E53" s="19" t="n">
        <v>46300</v>
      </c>
    </row>
    <row r="54" customFormat="false" ht="15" hidden="false" customHeight="true" outlineLevel="0" collapsed="false">
      <c r="A54" s="8" t="s">
        <v>74</v>
      </c>
      <c r="C54" s="9" t="str">
        <f aca="false">Inputs!$C$7</f>
        <v>Financial Controller (simulated)</v>
      </c>
      <c r="E54" s="34"/>
    </row>
  </sheetData>
  <conditionalFormatting sqref="O19:O28">
    <cfRule type="cellIs" priority="2" operator="equal" aboveAverage="0" equalAverage="0" bottom="0" percent="0" rank="0" text="" dxfId="6">
      <formula>"Report"</formula>
    </cfRule>
  </conditionalFormatting>
  <dataValidations count="2">
    <dataValidation allowBlank="true" errorStyle="stop" operator="between" showDropDown="false" showErrorMessage="false" showInputMessage="false" sqref="D19:D28" type="list">
      <formula1>"1,2"</formula1>
      <formula2>0</formula2>
    </dataValidation>
    <dataValidation allowBlank="true" errorStyle="stop" operator="between" showDropDown="false" showErrorMessage="false" showInputMessage="false" sqref="M19:M2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6"/>
    <col collapsed="false" customWidth="true" hidden="false" outlineLevel="0" max="4" min="2" style="0" width="17"/>
    <col collapsed="false" customWidth="true" hidden="false" outlineLevel="0" max="5" min="5" style="0" width="19"/>
    <col collapsed="false" customWidth="true" hidden="false" outlineLevel="0" max="7" min="6" style="0" width="17"/>
    <col collapsed="false" customWidth="true" hidden="false" outlineLevel="0" max="8" min="8" style="0" width="56"/>
  </cols>
  <sheetData>
    <row r="1" customFormat="false" ht="17.35" hidden="false" customHeight="false" outlineLevel="0" collapsed="false">
      <c r="A1" s="57" t="s">
        <v>602</v>
      </c>
    </row>
    <row r="2" customFormat="false" ht="15" hidden="false" customHeight="false" outlineLevel="0" collapsed="false">
      <c r="A2" s="58" t="str">
        <f aca="false">Inputs!$C$3</f>
        <v>Specialty retailer (simulated, Adairs-style)</v>
      </c>
    </row>
    <row r="3" customFormat="false" ht="15" hidden="false" customHeight="false" outlineLevel="0" collapsed="false">
      <c r="A3" s="59" t="s">
        <v>243</v>
      </c>
      <c r="B3" s="60" t="n">
        <f aca="false">Inputs!$C$5</f>
        <v>46295</v>
      </c>
    </row>
    <row r="4" customFormat="false" ht="15" hidden="false" customHeight="false" outlineLevel="0" collapsed="false">
      <c r="A4" s="61" t="s">
        <v>603</v>
      </c>
    </row>
    <row r="6" customFormat="false" ht="15" hidden="false" customHeight="false" outlineLevel="0" collapsed="false">
      <c r="A6" s="62" t="s">
        <v>604</v>
      </c>
    </row>
    <row r="7" customFormat="false" ht="15" hidden="false" customHeight="false" outlineLevel="0" collapsed="false">
      <c r="A7" s="63" t="s">
        <v>605</v>
      </c>
      <c r="B7" s="64" t="s">
        <v>46</v>
      </c>
      <c r="C7" s="64" t="s">
        <v>606</v>
      </c>
    </row>
    <row r="8" customFormat="false" ht="15" hidden="false" customHeight="false" outlineLevel="0" collapsed="false">
      <c r="A8" s="65" t="s">
        <v>607</v>
      </c>
      <c r="B8" s="66" t="n">
        <v>0.12</v>
      </c>
      <c r="C8" s="61" t="s">
        <v>608</v>
      </c>
    </row>
    <row r="9" customFormat="false" ht="15" hidden="false" customHeight="false" outlineLevel="0" collapsed="false">
      <c r="A9" s="65" t="s">
        <v>609</v>
      </c>
      <c r="B9" s="66" t="n">
        <v>1</v>
      </c>
      <c r="C9" s="61" t="s">
        <v>610</v>
      </c>
    </row>
    <row r="10" customFormat="false" ht="15" hidden="false" customHeight="false" outlineLevel="0" collapsed="false">
      <c r="A10" s="65" t="s">
        <v>611</v>
      </c>
      <c r="B10" s="66" t="n">
        <v>0.14</v>
      </c>
      <c r="C10" s="61" t="s">
        <v>612</v>
      </c>
    </row>
    <row r="11" customFormat="false" ht="15" hidden="false" customHeight="false" outlineLevel="0" collapsed="false">
      <c r="A11" s="65" t="s">
        <v>613</v>
      </c>
      <c r="B11" s="66" t="n">
        <v>0.2</v>
      </c>
      <c r="C11" s="61" t="s">
        <v>614</v>
      </c>
    </row>
    <row r="12" customFormat="false" ht="15" hidden="false" customHeight="false" outlineLevel="0" collapsed="false">
      <c r="A12" s="65" t="s">
        <v>615</v>
      </c>
      <c r="B12" s="67" t="n">
        <v>10</v>
      </c>
      <c r="C12" s="61" t="s">
        <v>616</v>
      </c>
    </row>
    <row r="13" customFormat="false" ht="15" hidden="false" customHeight="false" outlineLevel="0" collapsed="false">
      <c r="A13" s="65" t="s">
        <v>85</v>
      </c>
      <c r="B13" s="68" t="n">
        <f aca="false">Inputs!$C$12</f>
        <v>1</v>
      </c>
      <c r="C13" s="61" t="s">
        <v>617</v>
      </c>
    </row>
    <row r="14" customFormat="false" ht="15" hidden="false" customHeight="false" outlineLevel="0" collapsed="false">
      <c r="A14" s="65" t="s">
        <v>618</v>
      </c>
      <c r="B14" s="69" t="n">
        <v>1350</v>
      </c>
      <c r="C14" s="61" t="s">
        <v>619</v>
      </c>
    </row>
    <row r="15" customFormat="false" ht="15" hidden="false" customHeight="false" outlineLevel="0" collapsed="false">
      <c r="A15" s="65" t="s">
        <v>620</v>
      </c>
      <c r="B15" s="69" t="n">
        <v>280</v>
      </c>
      <c r="C15" s="61" t="s">
        <v>619</v>
      </c>
    </row>
    <row r="17" customFormat="false" ht="15" hidden="false" customHeight="false" outlineLevel="0" collapsed="false">
      <c r="A17" s="62" t="s">
        <v>621</v>
      </c>
    </row>
    <row r="18" customFormat="false" ht="23.85" hidden="false" customHeight="false" outlineLevel="0" collapsed="false">
      <c r="A18" s="63" t="s">
        <v>622</v>
      </c>
      <c r="B18" s="64" t="s">
        <v>623</v>
      </c>
      <c r="C18" s="64" t="s">
        <v>624</v>
      </c>
      <c r="D18" s="64" t="s">
        <v>625</v>
      </c>
      <c r="E18" s="64" t="s">
        <v>626</v>
      </c>
      <c r="F18" s="64" t="s">
        <v>232</v>
      </c>
      <c r="G18" s="64" t="s">
        <v>190</v>
      </c>
      <c r="H18" s="64" t="s">
        <v>627</v>
      </c>
    </row>
    <row r="19" customFormat="false" ht="15" hidden="false" customHeight="false" outlineLevel="0" collapsed="false">
      <c r="A19" s="65" t="s">
        <v>628</v>
      </c>
      <c r="B19" s="70" t="n">
        <v>6000</v>
      </c>
      <c r="C19" s="69" t="n">
        <v>8900000</v>
      </c>
      <c r="E19" s="68" t="n">
        <f aca="false">SUMIF(TB!$A$6:$A$46,$B19,TB!$G$6:$G$46)</f>
        <v>8900000</v>
      </c>
      <c r="F19" s="71" t="n">
        <f aca="false">C19-E19</f>
        <v>0</v>
      </c>
      <c r="G19" s="59" t="str">
        <f aca="false">IF(ABS(F19)&lt;=$B$13,"OK","INVESTIGATE")</f>
        <v>OK</v>
      </c>
      <c r="H19" s="61" t="s">
        <v>629</v>
      </c>
    </row>
    <row r="20" customFormat="false" ht="15" hidden="false" customHeight="false" outlineLevel="0" collapsed="false">
      <c r="A20" s="65" t="s">
        <v>630</v>
      </c>
      <c r="B20" s="70" t="n">
        <v>6010</v>
      </c>
      <c r="C20" s="69" t="n">
        <v>3100000</v>
      </c>
      <c r="E20" s="68" t="n">
        <f aca="false">SUMIF(TB!$A$6:$A$46,$B20,TB!$G$6:$G$46)</f>
        <v>3100000</v>
      </c>
      <c r="F20" s="71" t="n">
        <f aca="false">C20-E20</f>
        <v>0</v>
      </c>
      <c r="G20" s="59" t="str">
        <f aca="false">IF(ABS(F20)&lt;=$B$13,"OK","INVESTIGATE")</f>
        <v>OK</v>
      </c>
    </row>
    <row r="21" customFormat="false" ht="15" hidden="false" customHeight="false" outlineLevel="0" collapsed="false">
      <c r="A21" s="65" t="s">
        <v>631</v>
      </c>
      <c r="B21" s="70" t="n">
        <v>6020</v>
      </c>
      <c r="C21" s="71" t="n">
        <f aca="false">ROUND((C19+C20)*$B$9*$B$8,0)</f>
        <v>1440000</v>
      </c>
      <c r="E21" s="68" t="n">
        <f aca="false">SUMIF(TB!$A$6:$A$46,$B21,TB!$G$6:$G$46)</f>
        <v>1440000</v>
      </c>
      <c r="F21" s="71" t="n">
        <f aca="false">C21-E21</f>
        <v>0</v>
      </c>
      <c r="G21" s="59" t="str">
        <f aca="false">IF(ABS(F21)&lt;=$B$13,"OK","INVESTIGATE")</f>
        <v>OK</v>
      </c>
      <c r="H21" s="61" t="s">
        <v>632</v>
      </c>
    </row>
    <row r="22" customFormat="false" ht="15" hidden="false" customHeight="false" outlineLevel="0" collapsed="false">
      <c r="A22" s="65" t="s">
        <v>127</v>
      </c>
      <c r="B22" s="70" t="n">
        <v>2100</v>
      </c>
      <c r="D22" s="69" t="n">
        <v>1950000</v>
      </c>
      <c r="H22" s="61" t="s">
        <v>633</v>
      </c>
    </row>
    <row r="23" customFormat="false" ht="15" hidden="false" customHeight="false" outlineLevel="0" collapsed="false">
      <c r="A23" s="65" t="s">
        <v>130</v>
      </c>
      <c r="B23" s="70" t="n">
        <v>2110</v>
      </c>
      <c r="D23" s="71" t="n">
        <f aca="false">C21</f>
        <v>1440000</v>
      </c>
    </row>
    <row r="24" customFormat="false" ht="15" hidden="false" customHeight="false" outlineLevel="0" collapsed="false">
      <c r="A24" s="65" t="s">
        <v>634</v>
      </c>
      <c r="B24" s="70" t="n">
        <v>1000</v>
      </c>
      <c r="D24" s="71" t="n">
        <f aca="false">C19+C20-D22</f>
        <v>10050000</v>
      </c>
      <c r="H24" s="61" t="s">
        <v>635</v>
      </c>
    </row>
    <row r="25" customFormat="false" ht="15" hidden="false" customHeight="false" outlineLevel="0" collapsed="false">
      <c r="A25" s="72" t="s">
        <v>240</v>
      </c>
      <c r="B25" s="72"/>
      <c r="C25" s="73" t="n">
        <f aca="false">SUM(C19:C24)</f>
        <v>13440000</v>
      </c>
      <c r="D25" s="73" t="n">
        <f aca="false">SUM(D19:D24)</f>
        <v>13440000</v>
      </c>
      <c r="E25" s="72"/>
      <c r="F25" s="72"/>
      <c r="G25" s="72" t="str">
        <f aca="false">IF(ROUND(C25-D25,0)=0,"BALANCED","OUT OF BALANCE")</f>
        <v>BALANCED</v>
      </c>
      <c r="H25" s="72"/>
    </row>
    <row r="27" customFormat="false" ht="15" hidden="false" customHeight="false" outlineLevel="0" collapsed="false">
      <c r="A27" s="62" t="s">
        <v>636</v>
      </c>
    </row>
    <row r="28" customFormat="false" ht="23.85" hidden="false" customHeight="false" outlineLevel="0" collapsed="false">
      <c r="A28" s="63" t="s">
        <v>637</v>
      </c>
      <c r="B28" s="64" t="s">
        <v>638</v>
      </c>
      <c r="C28" s="64" t="s">
        <v>639</v>
      </c>
      <c r="D28" s="64" t="s">
        <v>232</v>
      </c>
      <c r="E28" s="64" t="s">
        <v>190</v>
      </c>
    </row>
    <row r="29" customFormat="false" ht="15" hidden="false" customHeight="false" outlineLevel="0" collapsed="false">
      <c r="A29" s="65" t="s">
        <v>640</v>
      </c>
      <c r="B29" s="68" t="n">
        <f aca="false">C19+C20+SUMIF(TB!$A$6:$A$46,2120,TB!$G$6:$G$46)+SUMIF(TB!$A$6:$A$46,2130,TB!$G$6:$G$46)</f>
        <v>11800000</v>
      </c>
      <c r="C29" s="68" t="n">
        <f aca="false">BAS_IAS!$D$24</f>
        <v>11800000</v>
      </c>
      <c r="D29" s="71" t="n">
        <f aca="false">B29-C29</f>
        <v>0</v>
      </c>
      <c r="E29" s="59" t="str">
        <f aca="false">IF(ABS(D29)&lt;=$B$13,"OK","INVESTIGATE")</f>
        <v>OK</v>
      </c>
    </row>
    <row r="30" customFormat="false" ht="15" hidden="false" customHeight="false" outlineLevel="0" collapsed="false">
      <c r="A30" s="65" t="s">
        <v>641</v>
      </c>
      <c r="B30" s="71" t="n">
        <f aca="false">D22</f>
        <v>1950000</v>
      </c>
      <c r="C30" s="68" t="n">
        <f aca="false">BAS_IAS!$D$25</f>
        <v>1950000</v>
      </c>
      <c r="D30" s="71" t="n">
        <f aca="false">B30-C30</f>
        <v>0</v>
      </c>
      <c r="E30" s="59" t="str">
        <f aca="false">IF(ABS(D30)&lt;=$B$13,"OK","INVESTIGATE")</f>
        <v>OK</v>
      </c>
    </row>
    <row r="31" customFormat="false" ht="15" hidden="false" customHeight="false" outlineLevel="0" collapsed="false">
      <c r="A31" s="65" t="s">
        <v>642</v>
      </c>
      <c r="B31" s="74" t="n">
        <f aca="false">IF(C19+C20=0,0,D22/(C19+C20))</f>
        <v>0.1625</v>
      </c>
      <c r="E31" s="59" t="str">
        <f aca="false">IF(AND(B31&gt;=$B$10,B31&lt;=$B$11),"IN RANGE","REVIEW")</f>
        <v>IN RANGE</v>
      </c>
    </row>
    <row r="33" customFormat="false" ht="15" hidden="false" customHeight="false" outlineLevel="0" collapsed="false">
      <c r="A33" s="62" t="s">
        <v>643</v>
      </c>
    </row>
    <row r="34" customFormat="false" ht="15" hidden="false" customHeight="false" outlineLevel="0" collapsed="false">
      <c r="A34" s="63" t="s">
        <v>637</v>
      </c>
      <c r="B34" s="64" t="s">
        <v>46</v>
      </c>
      <c r="C34" s="64" t="s">
        <v>190</v>
      </c>
    </row>
    <row r="35" customFormat="false" ht="15" hidden="false" customHeight="false" outlineLevel="0" collapsed="false">
      <c r="A35" s="65" t="s">
        <v>644</v>
      </c>
      <c r="B35" s="71" t="n">
        <f aca="false">(C19+C20)*$B$9</f>
        <v>12000000</v>
      </c>
    </row>
    <row r="36" customFormat="false" ht="15" hidden="false" customHeight="false" outlineLevel="0" collapsed="false">
      <c r="A36" s="65" t="s">
        <v>645</v>
      </c>
      <c r="B36" s="71" t="n">
        <f aca="false">ROUND(B35*$B$8,0)</f>
        <v>1440000</v>
      </c>
    </row>
    <row r="37" customFormat="false" ht="15" hidden="false" customHeight="false" outlineLevel="0" collapsed="false">
      <c r="A37" s="65" t="s">
        <v>646</v>
      </c>
      <c r="B37" s="71" t="n">
        <f aca="false">E21</f>
        <v>1440000</v>
      </c>
    </row>
    <row r="38" customFormat="false" ht="15" hidden="false" customHeight="false" outlineLevel="0" collapsed="false">
      <c r="A38" s="65" t="s">
        <v>647</v>
      </c>
      <c r="B38" s="71" t="n">
        <f aca="false">B36-B37</f>
        <v>0</v>
      </c>
      <c r="C38" s="59" t="str">
        <f aca="false">IF(ABS(B38)&lt;=$B$13,"OK","INVESTIGATE")</f>
        <v>OK</v>
      </c>
    </row>
    <row r="39" customFormat="false" ht="15" hidden="false" customHeight="false" outlineLevel="0" collapsed="false">
      <c r="A39" s="65" t="s">
        <v>648</v>
      </c>
      <c r="B39" s="68" t="n">
        <f aca="false">-SUMIF(TB!$A$6:$A$46,2110,TB!$F$6:$F$46)</f>
        <v>345000</v>
      </c>
    </row>
    <row r="40" customFormat="false" ht="15" hidden="false" customHeight="false" outlineLevel="0" collapsed="false">
      <c r="A40" s="65" t="s">
        <v>649</v>
      </c>
      <c r="B40" s="75" t="n">
        <f aca="false">IF(B37=0,0,B39/(B37/DAY(Inputs!$C$5)))</f>
        <v>7.1875</v>
      </c>
      <c r="C40" s="59" t="str">
        <f aca="false">IF(B40&lt;=$B$12,"WITHIN WINDOW","REVIEW: LATE-PAYMENT RISK")</f>
        <v>WITHIN WINDOW</v>
      </c>
      <c r="D40" s="61" t="s">
        <v>650</v>
      </c>
    </row>
    <row r="41" customFormat="false" ht="15" hidden="false" customHeight="false" outlineLevel="0" collapsed="false">
      <c r="A41" s="65" t="s">
        <v>651</v>
      </c>
      <c r="B41" s="68" t="n">
        <f aca="false">Rec_Payroll!$D$22</f>
        <v>-96000</v>
      </c>
      <c r="D41" s="61" t="s">
        <v>652</v>
      </c>
    </row>
    <row r="43" customFormat="false" ht="15" hidden="false" customHeight="false" outlineLevel="0" collapsed="false">
      <c r="A43" s="62" t="s">
        <v>653</v>
      </c>
    </row>
    <row r="44" customFormat="false" ht="23.85" hidden="false" customHeight="false" outlineLevel="0" collapsed="false">
      <c r="A44" s="63" t="s">
        <v>228</v>
      </c>
      <c r="B44" s="64" t="s">
        <v>405</v>
      </c>
      <c r="C44" s="64" t="s">
        <v>654</v>
      </c>
      <c r="D44" s="64" t="s">
        <v>232</v>
      </c>
      <c r="E44" s="64" t="s">
        <v>655</v>
      </c>
      <c r="F44" s="64" t="s">
        <v>656</v>
      </c>
      <c r="G44" s="64" t="s">
        <v>498</v>
      </c>
      <c r="H44" s="64" t="s">
        <v>657</v>
      </c>
    </row>
    <row r="45" customFormat="false" ht="15" hidden="false" customHeight="false" outlineLevel="0" collapsed="false">
      <c r="A45" s="65" t="s">
        <v>658</v>
      </c>
      <c r="B45" s="68" t="n">
        <f aca="false">-SUMIF(TB!$A$6:$A$46,2100,TB!$F$6:$F$46)</f>
        <v>1950000</v>
      </c>
      <c r="C45" s="69" t="n">
        <v>1950000</v>
      </c>
      <c r="D45" s="71" t="n">
        <f aca="false">B45-C45</f>
        <v>0</v>
      </c>
      <c r="E45" s="69" t="n">
        <v>0</v>
      </c>
      <c r="F45" s="69" t="n">
        <v>0</v>
      </c>
      <c r="G45" s="71" t="n">
        <f aca="false">D45-E45-F45</f>
        <v>0</v>
      </c>
      <c r="H45" s="61" t="s">
        <v>659</v>
      </c>
    </row>
    <row r="46" customFormat="false" ht="15" hidden="false" customHeight="false" outlineLevel="0" collapsed="false">
      <c r="A46" s="65" t="s">
        <v>660</v>
      </c>
      <c r="B46" s="68" t="n">
        <f aca="false">-SUMIF(TB!$A$6:$A$46,2110,TB!$F$6:$F$46)</f>
        <v>345000</v>
      </c>
      <c r="C46" s="69" t="n">
        <v>249000</v>
      </c>
      <c r="D46" s="71" t="n">
        <f aca="false">B46-C46</f>
        <v>96000</v>
      </c>
      <c r="E46" s="68" t="n">
        <f aca="false">-Rec_Payroll!$D$22</f>
        <v>96000</v>
      </c>
      <c r="F46" s="69" t="n">
        <v>0</v>
      </c>
      <c r="G46" s="71" t="n">
        <f aca="false">D46-E46-F46</f>
        <v>0</v>
      </c>
      <c r="H46" s="61" t="s">
        <v>661</v>
      </c>
    </row>
    <row r="47" customFormat="false" ht="15" hidden="false" customHeight="false" outlineLevel="0" collapsed="false">
      <c r="A47" s="65" t="s">
        <v>662</v>
      </c>
      <c r="B47" s="68" t="n">
        <f aca="false">-SUMIF(TB!$A$6:$A$46,2120,TB!$F$6:$F$46)</f>
        <v>2300000</v>
      </c>
      <c r="C47" s="69" t="n">
        <v>2255000</v>
      </c>
      <c r="D47" s="71" t="n">
        <f aca="false">B47-C47</f>
        <v>45000</v>
      </c>
      <c r="E47" s="69" t="n">
        <v>0</v>
      </c>
      <c r="F47" s="68" t="n">
        <f aca="false">Rec_Payroll!$D$23</f>
        <v>45000</v>
      </c>
      <c r="G47" s="71" t="n">
        <f aca="false">D47-E47-F47</f>
        <v>0</v>
      </c>
      <c r="H47" s="61" t="s">
        <v>663</v>
      </c>
    </row>
    <row r="48" customFormat="false" ht="15" hidden="false" customHeight="false" outlineLevel="0" collapsed="false">
      <c r="A48" s="72" t="s">
        <v>240</v>
      </c>
      <c r="B48" s="73" t="n">
        <f aca="false">SUM(B45:B47)</f>
        <v>4595000</v>
      </c>
      <c r="C48" s="73" t="n">
        <f aca="false">SUM(C45:C47)</f>
        <v>4454000</v>
      </c>
      <c r="D48" s="73" t="n">
        <f aca="false">SUM(D45:D47)</f>
        <v>141000</v>
      </c>
      <c r="E48" s="73" t="n">
        <f aca="false">SUM(E45:E47)</f>
        <v>96000</v>
      </c>
      <c r="F48" s="73" t="n">
        <f aca="false">SUM(F45:F47)</f>
        <v>45000</v>
      </c>
      <c r="G48" s="73" t="n">
        <f aca="false">SUM(G45:G47)</f>
        <v>0</v>
      </c>
      <c r="H48" s="72"/>
    </row>
    <row r="49" customFormat="false" ht="15" hidden="false" customHeight="false" outlineLevel="0" collapsed="false">
      <c r="A49" s="65" t="s">
        <v>664</v>
      </c>
      <c r="B49" s="71" t="n">
        <f aca="false">C48</f>
        <v>4454000</v>
      </c>
      <c r="C49" s="68" t="n">
        <f aca="false">Rec_Payroll!$D$14</f>
        <v>4454000</v>
      </c>
      <c r="D49" s="71" t="n">
        <f aca="false">B49-C49</f>
        <v>0</v>
      </c>
      <c r="E49" s="59" t="str">
        <f aca="false">IF(ABS(D49)&lt;=$B$13,"OK","INVESTIGATE")</f>
        <v>OK</v>
      </c>
    </row>
    <row r="50" customFormat="false" ht="15" hidden="false" customHeight="false" outlineLevel="0" collapsed="false">
      <c r="A50" s="65" t="s">
        <v>665</v>
      </c>
      <c r="B50" s="71" t="n">
        <f aca="false">G48</f>
        <v>0</v>
      </c>
      <c r="E50" s="59" t="str">
        <f aca="false">IF(ABS(B50)&lt;=$B$13,"OK","INVESTIGATE")</f>
        <v>OK</v>
      </c>
    </row>
    <row r="52" customFormat="false" ht="15" hidden="false" customHeight="false" outlineLevel="0" collapsed="false">
      <c r="A52" s="62" t="s">
        <v>666</v>
      </c>
    </row>
    <row r="53" customFormat="false" ht="15" hidden="false" customHeight="false" outlineLevel="0" collapsed="false">
      <c r="A53" s="63" t="s">
        <v>519</v>
      </c>
      <c r="B53" s="64" t="s">
        <v>667</v>
      </c>
      <c r="C53" s="64" t="s">
        <v>509</v>
      </c>
    </row>
    <row r="54" customFormat="false" ht="15" hidden="false" customHeight="false" outlineLevel="0" collapsed="false">
      <c r="A54" s="65" t="s">
        <v>668</v>
      </c>
      <c r="B54" s="68" t="n">
        <f aca="false">-SUMIF(TB!$A$6:$A$46,2130,TB!$E$6:$E$46)</f>
        <v>5050000</v>
      </c>
    </row>
    <row r="55" customFormat="false" ht="15" hidden="false" customHeight="false" outlineLevel="0" collapsed="false">
      <c r="A55" s="65" t="s">
        <v>669</v>
      </c>
      <c r="B55" s="69" t="n">
        <v>620000</v>
      </c>
      <c r="C55" s="61" t="s">
        <v>670</v>
      </c>
    </row>
    <row r="56" customFormat="false" ht="15" hidden="false" customHeight="false" outlineLevel="0" collapsed="false">
      <c r="A56" s="65" t="s">
        <v>671</v>
      </c>
      <c r="B56" s="69" t="n">
        <v>-570000</v>
      </c>
      <c r="C56" s="61" t="s">
        <v>670</v>
      </c>
    </row>
    <row r="57" customFormat="false" ht="15" hidden="false" customHeight="false" outlineLevel="0" collapsed="false">
      <c r="A57" s="59" t="s">
        <v>672</v>
      </c>
      <c r="B57" s="76" t="n">
        <f aca="false">SUM(B54:B56)</f>
        <v>5100000</v>
      </c>
    </row>
    <row r="58" customFormat="false" ht="15" hidden="false" customHeight="false" outlineLevel="0" collapsed="false">
      <c r="A58" s="65" t="s">
        <v>673</v>
      </c>
      <c r="B58" s="68" t="n">
        <f aca="false">-SUMIF(TB!$A$6:$A$46,2130,TB!$F$6:$F$46)</f>
        <v>5100000</v>
      </c>
    </row>
    <row r="59" customFormat="false" ht="15" hidden="false" customHeight="false" outlineLevel="0" collapsed="false">
      <c r="A59" s="65" t="s">
        <v>647</v>
      </c>
      <c r="B59" s="71" t="n">
        <f aca="false">B57-B58</f>
        <v>0</v>
      </c>
      <c r="C59" s="59" t="str">
        <f aca="false">IF(ABS(B59)&lt;=$B$13,"OK","INVESTIGATE")</f>
        <v>OK</v>
      </c>
    </row>
    <row r="60" customFormat="false" ht="15" hidden="false" customHeight="false" outlineLevel="0" collapsed="false">
      <c r="A60" s="65" t="s">
        <v>674</v>
      </c>
      <c r="B60" s="71" t="n">
        <f aca="false">ROUND(B55*$B$8,0)</f>
        <v>74400</v>
      </c>
      <c r="C60" s="61" t="s">
        <v>675</v>
      </c>
    </row>
    <row r="61" customFormat="false" ht="15" hidden="false" customHeight="false" outlineLevel="0" collapsed="false">
      <c r="A61" s="65" t="s">
        <v>676</v>
      </c>
      <c r="B61" s="75" t="n">
        <f aca="false">IF(C19+C20=0,0,B58/((C19+C20)/DAY(Inputs!$C$5)))</f>
        <v>12.75</v>
      </c>
    </row>
    <row r="62" customFormat="false" ht="15" hidden="false" customHeight="false" outlineLevel="0" collapsed="false">
      <c r="A62" s="65" t="s">
        <v>677</v>
      </c>
      <c r="B62" s="74" t="n">
        <f aca="false">IF(C19+C20=0,0,B58/((C19+C20)*12))</f>
        <v>0.0354166666666667</v>
      </c>
      <c r="C62" s="61" t="s">
        <v>678</v>
      </c>
    </row>
    <row r="64" customFormat="false" ht="15" hidden="false" customHeight="false" outlineLevel="0" collapsed="false">
      <c r="A64" s="62" t="s">
        <v>679</v>
      </c>
    </row>
    <row r="65" customFormat="false" ht="15" hidden="false" customHeight="false" outlineLevel="0" collapsed="false">
      <c r="A65" s="63" t="s">
        <v>680</v>
      </c>
      <c r="B65" s="64" t="s">
        <v>681</v>
      </c>
      <c r="C65" s="64" t="s">
        <v>682</v>
      </c>
      <c r="D65" s="64" t="s">
        <v>240</v>
      </c>
    </row>
    <row r="66" customFormat="false" ht="15" hidden="false" customHeight="false" outlineLevel="0" collapsed="false">
      <c r="A66" s="65" t="s">
        <v>683</v>
      </c>
      <c r="B66" s="71" t="n">
        <f aca="false">IF($B$14=0,0,C19/$B$14)</f>
        <v>6592.59259259259</v>
      </c>
      <c r="C66" s="71" t="n">
        <f aca="false">IF($B$15=0,0,C20/$B$15)</f>
        <v>11071.4285714286</v>
      </c>
      <c r="D66" s="71" t="n">
        <f aca="false">IF($B$14+$B$15=0,0,(C19+C20)/($B$14+$B$15))</f>
        <v>7361.96319018405</v>
      </c>
    </row>
    <row r="67" customFormat="false" ht="15" hidden="false" customHeight="false" outlineLevel="0" collapsed="false">
      <c r="A67" s="65" t="s">
        <v>684</v>
      </c>
      <c r="B67" s="74" t="n">
        <f aca="false">IF(C19+C20=0,0,C19/(C19+C20))</f>
        <v>0.741666666666667</v>
      </c>
      <c r="C67" s="74" t="n">
        <f aca="false">IF(C19+C20=0,0,C20/(C19+C20))</f>
        <v>0.258333333333333</v>
      </c>
      <c r="D67" s="74" t="n">
        <f aca="false">B67+C67</f>
        <v>1</v>
      </c>
    </row>
    <row r="68" customFormat="false" ht="15" hidden="false" customHeight="false" outlineLevel="0" collapsed="false">
      <c r="A68" s="65" t="s">
        <v>685</v>
      </c>
      <c r="B68" s="77" t="n">
        <f aca="false">IF(Variance!$C$9=0,0,C19/Variance!$C$9)</f>
        <v>0.177467597208375</v>
      </c>
    </row>
    <row r="69" customFormat="false" ht="15" hidden="false" customHeight="false" outlineLevel="0" collapsed="false">
      <c r="A69" s="65" t="s">
        <v>686</v>
      </c>
      <c r="B69" s="68" t="n">
        <f aca="false">Variance!$E$16</f>
        <v>-200000</v>
      </c>
    </row>
    <row r="71" customFormat="false" ht="15" hidden="false" customHeight="false" outlineLevel="0" collapsed="false">
      <c r="A71" s="62" t="s">
        <v>687</v>
      </c>
    </row>
    <row r="72" customFormat="false" ht="15" hidden="false" customHeight="false" outlineLevel="0" collapsed="false">
      <c r="A72" s="63" t="s">
        <v>637</v>
      </c>
      <c r="B72" s="64" t="s">
        <v>47</v>
      </c>
    </row>
    <row r="73" customFormat="false" ht="15" hidden="false" customHeight="false" outlineLevel="0" collapsed="false">
      <c r="A73" s="65" t="s">
        <v>688</v>
      </c>
      <c r="B73" s="59" t="str">
        <f aca="false">IF(SUMPRODUCT(--(ABS(F19:F21)&gt;$B$13))=0,"PASS","FAIL")</f>
        <v>PASS</v>
      </c>
    </row>
    <row r="74" customFormat="false" ht="15" hidden="false" customHeight="false" outlineLevel="0" collapsed="false">
      <c r="A74" s="65" t="s">
        <v>689</v>
      </c>
      <c r="B74" s="59" t="str">
        <f aca="false">IF(ROUND(C25-D25,0)=0,"PASS","FAIL")</f>
        <v>PASS</v>
      </c>
    </row>
    <row r="75" customFormat="false" ht="15" hidden="false" customHeight="false" outlineLevel="0" collapsed="false">
      <c r="A75" s="65" t="s">
        <v>690</v>
      </c>
      <c r="B75" s="59" t="str">
        <f aca="false">IF(AND(ABS(D29)&lt;=$B$13,ABS(D30)&lt;=$B$13),"PASS","FAIL")</f>
        <v>PASS</v>
      </c>
    </row>
    <row r="76" customFormat="false" ht="15" hidden="false" customHeight="false" outlineLevel="0" collapsed="false">
      <c r="A76" s="65" t="s">
        <v>691</v>
      </c>
      <c r="B76" s="59" t="str">
        <f aca="false">IF(E31="IN RANGE","PASS","REVIEW")</f>
        <v>PASS</v>
      </c>
    </row>
    <row r="77" customFormat="false" ht="15" hidden="false" customHeight="false" outlineLevel="0" collapsed="false">
      <c r="A77" s="65" t="s">
        <v>692</v>
      </c>
      <c r="B77" s="59" t="str">
        <f aca="false">IF(ABS(B38)&lt;=$B$13,"PASS","FAIL")</f>
        <v>PASS</v>
      </c>
    </row>
    <row r="78" customFormat="false" ht="15" hidden="false" customHeight="false" outlineLevel="0" collapsed="false">
      <c r="A78" s="65" t="s">
        <v>693</v>
      </c>
      <c r="B78" s="59" t="str">
        <f aca="false">IF(B40&lt;=$B$12,"PASS","REVIEW")</f>
        <v>PASS</v>
      </c>
    </row>
    <row r="79" customFormat="false" ht="15" hidden="false" customHeight="false" outlineLevel="0" collapsed="false">
      <c r="A79" s="65" t="s">
        <v>694</v>
      </c>
      <c r="B79" s="59" t="str">
        <f aca="false">IF(AND(ABS(B50)&lt;=$B$13,ABS(D49)&lt;=$B$13),"PASS","FAIL")</f>
        <v>PASS</v>
      </c>
    </row>
    <row r="80" customFormat="false" ht="15" hidden="false" customHeight="false" outlineLevel="0" collapsed="false">
      <c r="A80" s="65" t="s">
        <v>695</v>
      </c>
      <c r="B80" s="59" t="str">
        <f aca="false">IF(ABS(B59)&lt;=$B$13,"PASS","FAIL")</f>
        <v>PASS</v>
      </c>
    </row>
    <row r="81" customFormat="false" ht="15" hidden="false" customHeight="false" outlineLevel="0" collapsed="false">
      <c r="A81" s="72" t="s">
        <v>696</v>
      </c>
      <c r="B81" s="72" t="str">
        <f aca="false">IF(COUNTIF(B73:B80,"FAIL")&gt;0,"FAIL",IF(COUNTIF(B73:B80,"REVIEW")&gt;0,"REVIEW","ALL PASS"))</f>
        <v>ALL PASS</v>
      </c>
    </row>
    <row r="82" customFormat="false" ht="15" hidden="false" customHeight="false" outlineLevel="0" collapsed="false">
      <c r="A82" s="65" t="s">
        <v>697</v>
      </c>
      <c r="B82" s="68" t="n">
        <f aca="false">Rec_Payroll!$D$11</f>
        <v>-96000</v>
      </c>
    </row>
    <row r="84" customFormat="false" ht="15" hidden="false" customHeight="false" outlineLevel="0" collapsed="false">
      <c r="A84" s="62" t="s">
        <v>279</v>
      </c>
    </row>
    <row r="85" customFormat="false" ht="15" hidden="false" customHeight="false" outlineLevel="0" collapsed="false">
      <c r="A85" s="65" t="s">
        <v>71</v>
      </c>
      <c r="B85" s="58" t="str">
        <f aca="false">Inputs!$C$6</f>
        <v>Bhagyashree Amblimath</v>
      </c>
      <c r="D85" s="78" t="n">
        <v>46300</v>
      </c>
    </row>
    <row r="86" customFormat="false" ht="15" hidden="false" customHeight="false" outlineLevel="0" collapsed="false">
      <c r="A86" s="65" t="s">
        <v>74</v>
      </c>
      <c r="B86" s="58" t="str">
        <f aca="false">Inputs!$C$7</f>
        <v>Financial Controller (simulated)</v>
      </c>
      <c r="D86" s="79"/>
      <c r="E86" s="61" t="s">
        <v>280</v>
      </c>
    </row>
  </sheetData>
  <conditionalFormatting sqref="G19:G25">
    <cfRule type="expression" priority="2" aboveAverage="0" equalAverage="0" bottom="0" percent="0" rank="0" text="" dxfId="7">
      <formula>OR(ISNUMBER(SEARCH("FAIL",G19)),ISNUMBER(SEARCH("INVESTIGATE",G19)),ISNUMBER(SEARCH("OUT OF",G19)),ISNUMBER(SEARCH("REVIEW",G19)))</formula>
    </cfRule>
    <cfRule type="expression" priority="3" aboveAverage="0" equalAverage="0" bottom="0" percent="0" rank="0" text="" dxfId="8">
      <formula>OR(ISNUMBER(SEARCH("PASS",G19)),ISNUMBER(SEARCH("OK",G19)),ISNUMBER(SEARCH("BALANCED",G19)),ISNUMBER(SEARCH("IN RANGE",G19)),ISNUMBER(SEARCH("WITHIN",G19)),ISNUMBER(SEARCH("TIES",G19)),ISNUMBER(SEARCH("ALL PASS",G19)),ISNUMBER(SEARCH("Done",G19)))</formula>
    </cfRule>
  </conditionalFormatting>
  <conditionalFormatting sqref="E29:E31">
    <cfRule type="expression" priority="4" aboveAverage="0" equalAverage="0" bottom="0" percent="0" rank="0" text="" dxfId="7">
      <formula>OR(ISNUMBER(SEARCH("FAIL",E29)),ISNUMBER(SEARCH("INVESTIGATE",E29)),ISNUMBER(SEARCH("OUT OF",E29)),ISNUMBER(SEARCH("REVIEW",E29)))</formula>
    </cfRule>
    <cfRule type="expression" priority="5" aboveAverage="0" equalAverage="0" bottom="0" percent="0" rank="0" text="" dxfId="8">
      <formula>OR(ISNUMBER(SEARCH("PASS",E29)),ISNUMBER(SEARCH("OK",E29)),ISNUMBER(SEARCH("BALANCED",E29)),ISNUMBER(SEARCH("IN RANGE",E29)),ISNUMBER(SEARCH("WITHIN",E29)),ISNUMBER(SEARCH("TIES",E29)),ISNUMBER(SEARCH("ALL PASS",E29)),ISNUMBER(SEARCH("Done",E29)))</formula>
    </cfRule>
  </conditionalFormatting>
  <conditionalFormatting sqref="C38:C40">
    <cfRule type="expression" priority="6" aboveAverage="0" equalAverage="0" bottom="0" percent="0" rank="0" text="" dxfId="7">
      <formula>OR(ISNUMBER(SEARCH("FAIL",C38)),ISNUMBER(SEARCH("INVESTIGATE",C38)),ISNUMBER(SEARCH("OUT OF",C38)),ISNUMBER(SEARCH("REVIEW",C38)))</formula>
    </cfRule>
    <cfRule type="expression" priority="7" aboveAverage="0" equalAverage="0" bottom="0" percent="0" rank="0" text="" dxfId="8">
      <formula>OR(ISNUMBER(SEARCH("PASS",C38)),ISNUMBER(SEARCH("OK",C38)),ISNUMBER(SEARCH("BALANCED",C38)),ISNUMBER(SEARCH("IN RANGE",C38)),ISNUMBER(SEARCH("WITHIN",C38)),ISNUMBER(SEARCH("TIES",C38)),ISNUMBER(SEARCH("ALL PASS",C38)),ISNUMBER(SEARCH("Done",C38)))</formula>
    </cfRule>
  </conditionalFormatting>
  <conditionalFormatting sqref="E49:E50">
    <cfRule type="expression" priority="8" aboveAverage="0" equalAverage="0" bottom="0" percent="0" rank="0" text="" dxfId="7">
      <formula>OR(ISNUMBER(SEARCH("FAIL",E49)),ISNUMBER(SEARCH("INVESTIGATE",E49)),ISNUMBER(SEARCH("OUT OF",E49)),ISNUMBER(SEARCH("REVIEW",E49)))</formula>
    </cfRule>
    <cfRule type="expression" priority="9" aboveAverage="0" equalAverage="0" bottom="0" percent="0" rank="0" text="" dxfId="8">
      <formula>OR(ISNUMBER(SEARCH("PASS",E49)),ISNUMBER(SEARCH("OK",E49)),ISNUMBER(SEARCH("BALANCED",E49)),ISNUMBER(SEARCH("IN RANGE",E49)),ISNUMBER(SEARCH("WITHIN",E49)),ISNUMBER(SEARCH("TIES",E49)),ISNUMBER(SEARCH("ALL PASS",E49)),ISNUMBER(SEARCH("Done",E49)))</formula>
    </cfRule>
  </conditionalFormatting>
  <conditionalFormatting sqref="C59">
    <cfRule type="expression" priority="10" aboveAverage="0" equalAverage="0" bottom="0" percent="0" rank="0" text="" dxfId="7">
      <formula>OR(ISNUMBER(SEARCH("FAIL",C59)),ISNUMBER(SEARCH("INVESTIGATE",C59)),ISNUMBER(SEARCH("OUT OF",C59)),ISNUMBER(SEARCH("REVIEW",C59)))</formula>
    </cfRule>
    <cfRule type="expression" priority="11" aboveAverage="0" equalAverage="0" bottom="0" percent="0" rank="0" text="" dxfId="8">
      <formula>OR(ISNUMBER(SEARCH("PASS",C59)),ISNUMBER(SEARCH("OK",C59)),ISNUMBER(SEARCH("BALANCED",C59)),ISNUMBER(SEARCH("IN RANGE",C59)),ISNUMBER(SEARCH("WITHIN",C59)),ISNUMBER(SEARCH("TIES",C59)),ISNUMBER(SEARCH("ALL PASS",C59)),ISNUMBER(SEARCH("Done",C59)))</formula>
    </cfRule>
  </conditionalFormatting>
  <conditionalFormatting sqref="B73:B81">
    <cfRule type="expression" priority="12" aboveAverage="0" equalAverage="0" bottom="0" percent="0" rank="0" text="" dxfId="7">
      <formula>OR(ISNUMBER(SEARCH("FAIL",B73)),ISNUMBER(SEARCH("INVESTIGATE",B73)),ISNUMBER(SEARCH("OUT OF",B73)),ISNUMBER(SEARCH("REVIEW",B73)))</formula>
    </cfRule>
    <cfRule type="expression" priority="13" aboveAverage="0" equalAverage="0" bottom="0" percent="0" rank="0" text="" dxfId="8">
      <formula>OR(ISNUMBER(SEARCH("PASS",B73)),ISNUMBER(SEARCH("OK",B73)),ISNUMBER(SEARCH("BALANCED",B73)),ISNUMBER(SEARCH("IN RANGE",B73)),ISNUMBER(SEARCH("WITHIN",B73)),ISNUMBER(SEARCH("TIES",B73)),ISNUMBER(SEARCH("ALL PASS",B73)),ISNUMBER(SEARCH("Done",B73)))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4" min="2" style="0" width="14"/>
    <col collapsed="false" customWidth="true" hidden="false" outlineLevel="0" max="15" min="15" style="0" width="16"/>
  </cols>
  <sheetData>
    <row r="1" customFormat="false" ht="17.35" hidden="false" customHeight="false" outlineLevel="0" collapsed="false">
      <c r="A1" s="57" t="s">
        <v>698</v>
      </c>
    </row>
    <row r="2" customFormat="false" ht="15" hidden="false" customHeight="false" outlineLevel="0" collapsed="false">
      <c r="A2" s="58" t="str">
        <f aca="false">Inputs!$C$3</f>
        <v>Specialty retailer (simulated, Adairs-style)</v>
      </c>
    </row>
    <row r="3" customFormat="false" ht="15" hidden="false" customHeight="false" outlineLevel="0" collapsed="false">
      <c r="A3" s="59" t="s">
        <v>243</v>
      </c>
      <c r="B3" s="60" t="n">
        <f aca="false">Inputs!$C$5</f>
        <v>46295</v>
      </c>
    </row>
    <row r="4" customFormat="false" ht="15" hidden="false" customHeight="false" outlineLevel="0" collapsed="false">
      <c r="A4" s="61" t="s">
        <v>699</v>
      </c>
    </row>
    <row r="5" customFormat="false" ht="15" hidden="false" customHeight="false" outlineLevel="0" collapsed="false">
      <c r="A5" s="59" t="s">
        <v>700</v>
      </c>
      <c r="B5" s="80" t="s">
        <v>701</v>
      </c>
      <c r="C5" s="61" t="s">
        <v>702</v>
      </c>
    </row>
    <row r="7" customFormat="false" ht="15" hidden="false" customHeight="false" outlineLevel="0" collapsed="false">
      <c r="A7" s="62" t="s">
        <v>703</v>
      </c>
    </row>
    <row r="8" customFormat="false" ht="15" hidden="false" customHeight="false" outlineLevel="0" collapsed="false">
      <c r="A8" s="63" t="s">
        <v>704</v>
      </c>
      <c r="B8" s="64" t="s">
        <v>701</v>
      </c>
      <c r="C8" s="64" t="s">
        <v>705</v>
      </c>
      <c r="D8" s="64" t="s">
        <v>706</v>
      </c>
    </row>
    <row r="9" customFormat="false" ht="15" hidden="false" customHeight="false" outlineLevel="0" collapsed="false">
      <c r="A9" s="65" t="s">
        <v>707</v>
      </c>
      <c r="B9" s="66" t="n">
        <v>0</v>
      </c>
      <c r="C9" s="66" t="n">
        <v>-0.04</v>
      </c>
      <c r="D9" s="81" t="n">
        <f aca="false">IF($B$5="Base",B9,C9)</f>
        <v>0</v>
      </c>
      <c r="E9" s="61" t="s">
        <v>708</v>
      </c>
    </row>
    <row r="10" customFormat="false" ht="15" hidden="false" customHeight="false" outlineLevel="0" collapsed="false">
      <c r="A10" s="65" t="s">
        <v>709</v>
      </c>
      <c r="B10" s="66" t="n">
        <v>0</v>
      </c>
      <c r="C10" s="66" t="n">
        <v>-0.03</v>
      </c>
      <c r="D10" s="81" t="n">
        <f aca="false">IF($B$5="Base",B10,C10)</f>
        <v>0</v>
      </c>
    </row>
    <row r="11" customFormat="false" ht="15" hidden="false" customHeight="false" outlineLevel="0" collapsed="false">
      <c r="A11" s="65" t="s">
        <v>710</v>
      </c>
      <c r="B11" s="66" t="n">
        <v>0.01</v>
      </c>
      <c r="C11" s="66" t="n">
        <v>-0.015</v>
      </c>
      <c r="D11" s="81" t="n">
        <f aca="false">IF($B$5="Base",B11,C11)</f>
        <v>0.01</v>
      </c>
    </row>
    <row r="12" customFormat="false" ht="15" hidden="false" customHeight="false" outlineLevel="0" collapsed="false">
      <c r="A12" s="65" t="s">
        <v>711</v>
      </c>
      <c r="B12" s="66" t="n">
        <v>0</v>
      </c>
      <c r="C12" s="66" t="n">
        <v>0.01</v>
      </c>
      <c r="D12" s="81" t="n">
        <f aca="false">IF($B$5="Base",B12,C12)</f>
        <v>0</v>
      </c>
    </row>
    <row r="13" customFormat="false" ht="15" hidden="false" customHeight="false" outlineLevel="0" collapsed="false">
      <c r="A13" s="65" t="s">
        <v>712</v>
      </c>
      <c r="B13" s="82" t="n">
        <v>0</v>
      </c>
      <c r="C13" s="82" t="n">
        <v>0.002</v>
      </c>
      <c r="D13" s="83" t="n">
        <f aca="false">IF($B$5="Base",B13,C13)</f>
        <v>0</v>
      </c>
    </row>
    <row r="14" customFormat="false" ht="15" hidden="false" customHeight="false" outlineLevel="0" collapsed="false">
      <c r="A14" s="65" t="s">
        <v>713</v>
      </c>
      <c r="B14" s="82" t="n">
        <v>0.0025</v>
      </c>
      <c r="C14" s="82" t="n">
        <v>0.004</v>
      </c>
      <c r="D14" s="83" t="n">
        <f aca="false">IF($B$5="Base",B14,C14)</f>
        <v>0.0025</v>
      </c>
    </row>
    <row r="15" customFormat="false" ht="15" hidden="false" customHeight="false" outlineLevel="0" collapsed="false">
      <c r="A15" s="65" t="s">
        <v>714</v>
      </c>
      <c r="B15" s="82" t="n">
        <v>0.003</v>
      </c>
      <c r="C15" s="82" t="n">
        <v>0</v>
      </c>
      <c r="D15" s="83" t="n">
        <f aca="false">IF($B$5="Base",B15,C15)</f>
        <v>0.003</v>
      </c>
    </row>
    <row r="16" customFormat="false" ht="15" hidden="false" customHeight="false" outlineLevel="0" collapsed="false">
      <c r="A16" s="65" t="s">
        <v>715</v>
      </c>
      <c r="B16" s="82" t="n">
        <v>0.005</v>
      </c>
      <c r="C16" s="82" t="n">
        <v>0.005</v>
      </c>
      <c r="D16" s="83" t="n">
        <f aca="false">IF($B$5="Base",B16,C16)</f>
        <v>0.005</v>
      </c>
    </row>
    <row r="18" customFormat="false" ht="15" hidden="false" customHeight="false" outlineLevel="0" collapsed="false">
      <c r="A18" s="62" t="s">
        <v>716</v>
      </c>
    </row>
    <row r="19" customFormat="false" ht="15" hidden="false" customHeight="false" outlineLevel="0" collapsed="false">
      <c r="A19" s="63" t="s">
        <v>717</v>
      </c>
      <c r="B19" s="64" t="s">
        <v>681</v>
      </c>
      <c r="C19" s="64" t="s">
        <v>718</v>
      </c>
      <c r="D19" s="64" t="s">
        <v>509</v>
      </c>
    </row>
    <row r="20" customFormat="false" ht="15" hidden="false" customHeight="false" outlineLevel="0" collapsed="false">
      <c r="A20" s="65" t="s">
        <v>719</v>
      </c>
      <c r="B20" s="69" t="n">
        <v>2550000</v>
      </c>
      <c r="C20" s="69" t="n">
        <v>4100000</v>
      </c>
      <c r="D20" s="61" t="s">
        <v>720</v>
      </c>
    </row>
    <row r="21" customFormat="false" ht="15" hidden="false" customHeight="false" outlineLevel="0" collapsed="false">
      <c r="A21" s="65" t="s">
        <v>721</v>
      </c>
      <c r="B21" s="82" t="n">
        <v>0.15</v>
      </c>
      <c r="C21" s="82" t="n">
        <v>0.022</v>
      </c>
      <c r="D21" s="61" t="s">
        <v>521</v>
      </c>
    </row>
    <row r="22" customFormat="false" ht="15" hidden="false" customHeight="false" outlineLevel="0" collapsed="false">
      <c r="A22" s="65" t="s">
        <v>722</v>
      </c>
      <c r="B22" s="71" t="n">
        <f aca="false">B20*B21</f>
        <v>382500</v>
      </c>
      <c r="C22" s="71" t="n">
        <f aca="false">C20*C21</f>
        <v>90200</v>
      </c>
    </row>
    <row r="23" customFormat="false" ht="15" hidden="false" customHeight="false" outlineLevel="0" collapsed="false">
      <c r="A23" s="65" t="s">
        <v>723</v>
      </c>
      <c r="B23" s="84" t="n">
        <f aca="false">IF(B22=0,0,Variance!$C$6/B22)</f>
        <v>99.8692810457516</v>
      </c>
      <c r="C23" s="84" t="n">
        <f aca="false">IF(C22=0,0,Variance!$C$7/C22)</f>
        <v>154.10199556541</v>
      </c>
      <c r="D23" s="61" t="s">
        <v>724</v>
      </c>
    </row>
    <row r="24" customFormat="false" ht="15" hidden="false" customHeight="false" outlineLevel="0" collapsed="false">
      <c r="A24" s="65" t="s">
        <v>725</v>
      </c>
      <c r="B24" s="85" t="n">
        <f aca="false">IF(Variance!$C$6+Variance!$C$7=0,0,-Variance!$C$8/(Variance!$C$6+Variance!$C$7))</f>
        <v>0.0374280230326296</v>
      </c>
    </row>
    <row r="25" customFormat="false" ht="15" hidden="false" customHeight="false" outlineLevel="0" collapsed="false">
      <c r="A25" s="65" t="s">
        <v>726</v>
      </c>
      <c r="B25" s="85" t="n">
        <f aca="false">IF(Variance!$C$9=0,0,Variance!$C$10/Variance!$C$9)</f>
        <v>0.390827517447657</v>
      </c>
    </row>
    <row r="26" customFormat="false" ht="15" hidden="false" customHeight="false" outlineLevel="0" collapsed="false">
      <c r="A26" s="65" t="s">
        <v>727</v>
      </c>
      <c r="B26" s="85" t="n">
        <f aca="false">IF(Variance!$C$9=0,0,Variance!$C$11/Variance!$C$9)</f>
        <v>0.0338983050847458</v>
      </c>
    </row>
    <row r="27" customFormat="false" ht="15" hidden="false" customHeight="false" outlineLevel="0" collapsed="false">
      <c r="A27" s="65" t="s">
        <v>728</v>
      </c>
      <c r="B27" s="85" t="n">
        <f aca="false">IF(Variance!$C$9=0,0,Variance!$C$12/Variance!$C$9)</f>
        <v>0.00837487537387836</v>
      </c>
    </row>
    <row r="28" customFormat="false" ht="15" hidden="false" customHeight="false" outlineLevel="0" collapsed="false">
      <c r="A28" s="65" t="s">
        <v>729</v>
      </c>
      <c r="B28" s="85" t="n">
        <f aca="false">IF(Variance!$C$9=0,0,Variance!$C$16/Variance!$C$9)</f>
        <v>0.177467597208375</v>
      </c>
    </row>
    <row r="29" customFormat="false" ht="15" hidden="false" customHeight="false" outlineLevel="0" collapsed="false">
      <c r="A29" s="65" t="s">
        <v>730</v>
      </c>
      <c r="B29" s="85" t="n">
        <f aca="false">IF(Variance!$C$9=0,0,Variance!$C$20/Variance!$C$9)</f>
        <v>0.0667996011964108</v>
      </c>
    </row>
    <row r="30" customFormat="false" ht="15" hidden="false" customHeight="false" outlineLevel="0" collapsed="false">
      <c r="A30" s="65" t="s">
        <v>731</v>
      </c>
      <c r="B30" s="85" t="n">
        <f aca="false">IF(Variance!$C$9=0,0,Variance!$C$23/Variance!$C$9)</f>
        <v>0.0137587238285145</v>
      </c>
    </row>
    <row r="31" customFormat="false" ht="15" hidden="false" customHeight="false" outlineLevel="0" collapsed="false">
      <c r="A31" s="65" t="s">
        <v>732</v>
      </c>
      <c r="B31" s="77" t="n">
        <f aca="false">Payroll!$B$8</f>
        <v>0.12</v>
      </c>
    </row>
    <row r="32" customFormat="false" ht="15" hidden="false" customHeight="false" outlineLevel="0" collapsed="false">
      <c r="A32" s="65" t="s">
        <v>733</v>
      </c>
      <c r="B32" s="77" t="n">
        <f aca="false">IF(Variance!$D$25=0,0,(Variance!$D$16*(1+B31)+Variance!$D$20+Variance!$D$23)/Variance!$D$25)</f>
        <v>0.57658200602669</v>
      </c>
      <c r="D32" s="61" t="s">
        <v>734</v>
      </c>
    </row>
    <row r="34" customFormat="false" ht="15" hidden="false" customHeight="false" outlineLevel="0" collapsed="false">
      <c r="A34" s="62" t="s">
        <v>735</v>
      </c>
    </row>
    <row r="35" customFormat="false" ht="15" hidden="false" customHeight="false" outlineLevel="0" collapsed="false">
      <c r="A35" s="86" t="s">
        <v>736</v>
      </c>
      <c r="B35" s="87" t="n">
        <f aca="false">Inputs!$C$5</f>
        <v>46295</v>
      </c>
      <c r="C35" s="87" t="n">
        <f aca="false">EOMONTH(Inputs!$C$5,C36)</f>
        <v>46326</v>
      </c>
      <c r="D35" s="87" t="n">
        <f aca="false">EOMONTH(Inputs!$C$5,D36)</f>
        <v>46356</v>
      </c>
      <c r="E35" s="87" t="n">
        <f aca="false">EOMONTH(Inputs!$C$5,E36)</f>
        <v>46387</v>
      </c>
      <c r="F35" s="87" t="n">
        <f aca="false">EOMONTH(Inputs!$C$5,F36)</f>
        <v>46418</v>
      </c>
      <c r="G35" s="87" t="n">
        <f aca="false">EOMONTH(Inputs!$C$5,G36)</f>
        <v>46446</v>
      </c>
      <c r="H35" s="87" t="n">
        <f aca="false">EOMONTH(Inputs!$C$5,H36)</f>
        <v>46477</v>
      </c>
      <c r="I35" s="87" t="n">
        <f aca="false">EOMONTH(Inputs!$C$5,I36)</f>
        <v>46507</v>
      </c>
      <c r="J35" s="87" t="n">
        <f aca="false">EOMONTH(Inputs!$C$5,J36)</f>
        <v>46538</v>
      </c>
      <c r="K35" s="87" t="n">
        <f aca="false">EOMONTH(Inputs!$C$5,K36)</f>
        <v>46568</v>
      </c>
      <c r="L35" s="87" t="n">
        <f aca="false">EOMONTH(Inputs!$C$5,L36)</f>
        <v>46599</v>
      </c>
      <c r="M35" s="87" t="n">
        <f aca="false">EOMONTH(Inputs!$C$5,M36)</f>
        <v>46630</v>
      </c>
      <c r="N35" s="87" t="n">
        <f aca="false">EOMONTH(Inputs!$C$5,N36)</f>
        <v>46660</v>
      </c>
      <c r="O35" s="88" t="s">
        <v>737</v>
      </c>
    </row>
    <row r="36" customFormat="false" ht="15" hidden="false" customHeight="false" outlineLevel="0" collapsed="false">
      <c r="A36" s="65" t="s">
        <v>738</v>
      </c>
      <c r="B36" s="70" t="n">
        <v>0</v>
      </c>
      <c r="C36" s="65" t="n">
        <f aca="false">B36+1</f>
        <v>1</v>
      </c>
      <c r="D36" s="65" t="n">
        <f aca="false">C36+1</f>
        <v>2</v>
      </c>
      <c r="E36" s="65" t="n">
        <f aca="false">D36+1</f>
        <v>3</v>
      </c>
      <c r="F36" s="65" t="n">
        <f aca="false">E36+1</f>
        <v>4</v>
      </c>
      <c r="G36" s="65" t="n">
        <f aca="false">F36+1</f>
        <v>5</v>
      </c>
      <c r="H36" s="65" t="n">
        <f aca="false">G36+1</f>
        <v>6</v>
      </c>
      <c r="I36" s="65" t="n">
        <f aca="false">H36+1</f>
        <v>7</v>
      </c>
      <c r="J36" s="65" t="n">
        <f aca="false">I36+1</f>
        <v>8</v>
      </c>
      <c r="K36" s="65" t="n">
        <f aca="false">J36+1</f>
        <v>9</v>
      </c>
      <c r="L36" s="65" t="n">
        <f aca="false">K36+1</f>
        <v>10</v>
      </c>
      <c r="M36" s="65" t="n">
        <f aca="false">L36+1</f>
        <v>11</v>
      </c>
      <c r="N36" s="65" t="n">
        <f aca="false">M36+1</f>
        <v>12</v>
      </c>
    </row>
    <row r="37" customFormat="false" ht="15" hidden="false" customHeight="false" outlineLevel="0" collapsed="false">
      <c r="A37" s="65" t="s">
        <v>739</v>
      </c>
      <c r="B37" s="89" t="n">
        <v>1</v>
      </c>
      <c r="C37" s="89" t="n">
        <v>1.03</v>
      </c>
      <c r="D37" s="89" t="n">
        <v>1.28</v>
      </c>
      <c r="E37" s="89" t="n">
        <v>1.4</v>
      </c>
      <c r="F37" s="89" t="n">
        <v>0.92</v>
      </c>
      <c r="G37" s="89" t="n">
        <v>0.86</v>
      </c>
      <c r="H37" s="89" t="n">
        <v>0.95</v>
      </c>
      <c r="I37" s="89" t="n">
        <v>0.93</v>
      </c>
      <c r="J37" s="89" t="n">
        <v>0.97</v>
      </c>
      <c r="K37" s="89" t="n">
        <v>1.06</v>
      </c>
      <c r="L37" s="89" t="n">
        <v>0.98</v>
      </c>
      <c r="M37" s="89" t="n">
        <v>0.96</v>
      </c>
      <c r="N37" s="89" t="n">
        <v>1</v>
      </c>
    </row>
    <row r="38" customFormat="false" ht="15" hidden="false" customHeight="false" outlineLevel="0" collapsed="false">
      <c r="A38" s="61" t="s">
        <v>740</v>
      </c>
    </row>
    <row r="39" customFormat="false" ht="15" hidden="false" customHeight="false" outlineLevel="0" collapsed="false">
      <c r="A39" s="59" t="s">
        <v>681</v>
      </c>
    </row>
    <row r="40" customFormat="false" ht="15" hidden="false" customHeight="false" outlineLevel="0" collapsed="false">
      <c r="A40" s="65" t="s">
        <v>741</v>
      </c>
      <c r="B40" s="68" t="n">
        <f aca="false">$B$20</f>
        <v>2550000</v>
      </c>
      <c r="C40" s="71" t="n">
        <f aca="false">$B$20*C$37*(1+$D$15)^C$36*(1+$D$9)</f>
        <v>2634379.5</v>
      </c>
      <c r="D40" s="71" t="n">
        <f aca="false">$B$20*D$37*(1+$D$15)^D$36*(1+$D$9)</f>
        <v>3283613.376</v>
      </c>
      <c r="E40" s="71" t="n">
        <f aca="false">$B$20*E$37*(1+$D$15)^E$36*(1+$D$9)</f>
        <v>3602226.48639</v>
      </c>
      <c r="F40" s="71" t="n">
        <f aca="false">$B$20*F$37*(1+$D$15)^F$36*(1+$D$9)</f>
        <v>2374278.93755802</v>
      </c>
      <c r="G40" s="71" t="n">
        <f aca="false">$B$20*G$37*(1+$D$15)^G$36*(1+$D$9)</f>
        <v>2226092.9629987</v>
      </c>
      <c r="H40" s="71" t="n">
        <f aca="false">$B$20*H$37*(1+$D$15)^H$36*(1+$D$9)</f>
        <v>2466433.34859687</v>
      </c>
      <c r="I40" s="71" t="n">
        <f aca="false">$B$20*I$37*(1+$D$15)^I$36*(1+$D$9)</f>
        <v>2421751.96130281</v>
      </c>
      <c r="J40" s="71" t="n">
        <f aca="false">$B$20*J$37*(1+$D$15)^J$36*(1+$D$9)</f>
        <v>2533491.07599045</v>
      </c>
      <c r="K40" s="71" t="n">
        <f aca="false">$B$20*K$37*(1+$D$15)^K$36*(1+$D$9)</f>
        <v>2776862.93007374</v>
      </c>
      <c r="L40" s="71" t="n">
        <f aca="false">$B$20*L$37*(1+$D$15)^L$36*(1+$D$9)</f>
        <v>2574990.2344214</v>
      </c>
      <c r="M40" s="71" t="n">
        <f aca="false">$B$20*M$37*(1+$D$15)^M$36*(1+$D$9)</f>
        <v>2530006.73155069</v>
      </c>
      <c r="N40" s="71" t="n">
        <f aca="false">$B$20*N$37*(1+$D$15)^N$36*(1+$D$9)</f>
        <v>2643329.94973473</v>
      </c>
      <c r="O40" s="71" t="n">
        <f aca="false">SUM(C40:N40)</f>
        <v>32067457.4946174</v>
      </c>
    </row>
    <row r="41" customFormat="false" ht="15" hidden="false" customHeight="false" outlineLevel="0" collapsed="false">
      <c r="A41" s="65" t="s">
        <v>721</v>
      </c>
      <c r="B41" s="85" t="n">
        <f aca="false">$B$21</f>
        <v>0.15</v>
      </c>
      <c r="C41" s="90" t="n">
        <f aca="false">$B$21*(1+$D$10)</f>
        <v>0.15</v>
      </c>
      <c r="D41" s="90" t="n">
        <f aca="false">$B$21*(1+$D$10)</f>
        <v>0.15</v>
      </c>
      <c r="E41" s="90" t="n">
        <f aca="false">$B$21*(1+$D$10)</f>
        <v>0.15</v>
      </c>
      <c r="F41" s="90" t="n">
        <f aca="false">$B$21*(1+$D$10)</f>
        <v>0.15</v>
      </c>
      <c r="G41" s="90" t="n">
        <f aca="false">$B$21*(1+$D$10)</f>
        <v>0.15</v>
      </c>
      <c r="H41" s="90" t="n">
        <f aca="false">$B$21*(1+$D$10)</f>
        <v>0.15</v>
      </c>
      <c r="I41" s="90" t="n">
        <f aca="false">$B$21*(1+$D$10)</f>
        <v>0.15</v>
      </c>
      <c r="J41" s="90" t="n">
        <f aca="false">$B$21*(1+$D$10)</f>
        <v>0.15</v>
      </c>
      <c r="K41" s="90" t="n">
        <f aca="false">$B$21*(1+$D$10)</f>
        <v>0.15</v>
      </c>
      <c r="L41" s="90" t="n">
        <f aca="false">$B$21*(1+$D$10)</f>
        <v>0.15</v>
      </c>
      <c r="M41" s="90" t="n">
        <f aca="false">$B$21*(1+$D$10)</f>
        <v>0.15</v>
      </c>
      <c r="N41" s="90" t="n">
        <f aca="false">$B$21*(1+$D$10)</f>
        <v>0.15</v>
      </c>
    </row>
    <row r="42" customFormat="false" ht="15" hidden="false" customHeight="false" outlineLevel="0" collapsed="false">
      <c r="A42" s="65" t="s">
        <v>742</v>
      </c>
      <c r="B42" s="71" t="n">
        <f aca="false">B40*B41</f>
        <v>382500</v>
      </c>
      <c r="C42" s="71" t="n">
        <f aca="false">C40*C41</f>
        <v>395156.925</v>
      </c>
      <c r="D42" s="71" t="n">
        <f aca="false">D40*D41</f>
        <v>492542.0064</v>
      </c>
      <c r="E42" s="71" t="n">
        <f aca="false">E40*E41</f>
        <v>540333.9729585</v>
      </c>
      <c r="F42" s="71" t="n">
        <f aca="false">F40*F41</f>
        <v>356141.840633704</v>
      </c>
      <c r="G42" s="71" t="n">
        <f aca="false">G40*G41</f>
        <v>333913.944449805</v>
      </c>
      <c r="H42" s="71" t="n">
        <f aca="false">H40*H41</f>
        <v>369965.002289531</v>
      </c>
      <c r="I42" s="71" t="n">
        <f aca="false">I40*I41</f>
        <v>363262.794195422</v>
      </c>
      <c r="J42" s="71" t="n">
        <f aca="false">J40*J41</f>
        <v>380023.661398568</v>
      </c>
      <c r="K42" s="71" t="n">
        <f aca="false">K40*K41</f>
        <v>416529.439511061</v>
      </c>
      <c r="L42" s="71" t="n">
        <f aca="false">L40*L41</f>
        <v>386248.53516321</v>
      </c>
      <c r="M42" s="71" t="n">
        <f aca="false">M40*M41</f>
        <v>379501.009732604</v>
      </c>
      <c r="N42" s="71" t="n">
        <f aca="false">N40*N41</f>
        <v>396499.49246021</v>
      </c>
      <c r="O42" s="71" t="n">
        <f aca="false">SUM(C42:N42)</f>
        <v>4810118.62419261</v>
      </c>
    </row>
    <row r="43" customFormat="false" ht="15" hidden="false" customHeight="false" outlineLevel="0" collapsed="false">
      <c r="A43" s="65" t="s">
        <v>743</v>
      </c>
      <c r="B43" s="84" t="n">
        <f aca="false">$B$23</f>
        <v>99.8692810457516</v>
      </c>
      <c r="C43" s="91" t="n">
        <f aca="false">$B$23*(1+$D$11)</f>
        <v>100.867973856209</v>
      </c>
      <c r="D43" s="91" t="n">
        <f aca="false">$B$23*(1+$D$11)</f>
        <v>100.867973856209</v>
      </c>
      <c r="E43" s="91" t="n">
        <f aca="false">$B$23*(1+$D$11)</f>
        <v>100.867973856209</v>
      </c>
      <c r="F43" s="91" t="n">
        <f aca="false">$B$23*(1+$D$11)</f>
        <v>100.867973856209</v>
      </c>
      <c r="G43" s="91" t="n">
        <f aca="false">$B$23*(1+$D$11)</f>
        <v>100.867973856209</v>
      </c>
      <c r="H43" s="91" t="n">
        <f aca="false">$B$23*(1+$D$11)</f>
        <v>100.867973856209</v>
      </c>
      <c r="I43" s="91" t="n">
        <f aca="false">$B$23*(1+$D$11)</f>
        <v>100.867973856209</v>
      </c>
      <c r="J43" s="91" t="n">
        <f aca="false">$B$23*(1+$D$11)</f>
        <v>100.867973856209</v>
      </c>
      <c r="K43" s="91" t="n">
        <f aca="false">$B$23*(1+$D$11)</f>
        <v>100.867973856209</v>
      </c>
      <c r="L43" s="91" t="n">
        <f aca="false">$B$23*(1+$D$11)</f>
        <v>100.867973856209</v>
      </c>
      <c r="M43" s="91" t="n">
        <f aca="false">$B$23*(1+$D$11)</f>
        <v>100.867973856209</v>
      </c>
      <c r="N43" s="91" t="n">
        <f aca="false">$B$23*(1+$D$11)</f>
        <v>100.867973856209</v>
      </c>
    </row>
    <row r="44" customFormat="false" ht="15" hidden="false" customHeight="false" outlineLevel="0" collapsed="false">
      <c r="A44" s="65" t="s">
        <v>744</v>
      </c>
      <c r="B44" s="71" t="n">
        <f aca="false">B42*B43</f>
        <v>38200000</v>
      </c>
      <c r="C44" s="71" t="n">
        <f aca="false">C42*C43</f>
        <v>39858678.38</v>
      </c>
      <c r="D44" s="71" t="n">
        <f aca="false">D42*D43</f>
        <v>49681714.22464</v>
      </c>
      <c r="E44" s="71" t="n">
        <f aca="false">E42*E43</f>
        <v>54502393.0579996</v>
      </c>
      <c r="F44" s="71" t="n">
        <f aca="false">F42*F43</f>
        <v>35923305.8701426</v>
      </c>
      <c r="G44" s="71" t="n">
        <f aca="false">G42*G43</f>
        <v>33681223.0189866</v>
      </c>
      <c r="H44" s="71" t="n">
        <f aca="false">H42*H43</f>
        <v>37317620.1786527</v>
      </c>
      <c r="I44" s="71" t="n">
        <f aca="false">I42*I43</f>
        <v>36641582.0278373</v>
      </c>
      <c r="J44" s="71" t="n">
        <f aca="false">J42*J43</f>
        <v>38332216.7426916</v>
      </c>
      <c r="K44" s="71" t="n">
        <f aca="false">K42*K43</f>
        <v>42014480.6149432</v>
      </c>
      <c r="L44" s="71" t="n">
        <f aca="false">L42*L43</f>
        <v>38960107.1468417</v>
      </c>
      <c r="M44" s="71" t="n">
        <f aca="false">M42*M43</f>
        <v>38279497.9281132</v>
      </c>
      <c r="N44" s="71" t="n">
        <f aca="false">N42*N43</f>
        <v>39994100.4394766</v>
      </c>
      <c r="O44" s="71" t="n">
        <f aca="false">SUM(C44:N44)</f>
        <v>485186919.630325</v>
      </c>
    </row>
    <row r="45" customFormat="false" ht="15" hidden="false" customHeight="false" outlineLevel="0" collapsed="false">
      <c r="A45" s="59" t="s">
        <v>718</v>
      </c>
    </row>
    <row r="46" customFormat="false" ht="15" hidden="false" customHeight="false" outlineLevel="0" collapsed="false">
      <c r="A46" s="65" t="s">
        <v>745</v>
      </c>
      <c r="B46" s="68" t="n">
        <f aca="false">$C$20</f>
        <v>4100000</v>
      </c>
      <c r="C46" s="71" t="n">
        <f aca="false">$C$20*C$37*(1+$D$15)^C$36*(1+$D$9)</f>
        <v>4235669</v>
      </c>
      <c r="D46" s="71" t="n">
        <f aca="false">$C$20*D$37*(1+$D$15)^D$36*(1+$D$9)</f>
        <v>5279535.232</v>
      </c>
      <c r="E46" s="71" t="n">
        <f aca="false">$C$20*E$37*(1+$D$15)^E$36*(1+$D$9)</f>
        <v>5791815.13498</v>
      </c>
      <c r="F46" s="71" t="n">
        <f aca="false">$C$20*F$37*(1+$D$15)^F$36*(1+$D$9)</f>
        <v>3817468.09568153</v>
      </c>
      <c r="G46" s="71" t="n">
        <f aca="false">$C$20*G$37*(1+$D$15)^G$36*(1+$D$9)</f>
        <v>3579208.29344889</v>
      </c>
      <c r="H46" s="71" t="n">
        <f aca="false">$C$20*H$37*(1+$D$15)^H$36*(1+$D$9)</f>
        <v>3965637.9330381</v>
      </c>
      <c r="I46" s="71" t="n">
        <f aca="false">$C$20*I$37*(1+$D$15)^I$36*(1+$D$9)</f>
        <v>3893797.27111433</v>
      </c>
      <c r="J46" s="71" t="n">
        <f aca="false">$C$20*J$37*(1+$D$15)^J$36*(1+$D$9)</f>
        <v>4073456.23982779</v>
      </c>
      <c r="K46" s="71" t="n">
        <f aca="false">$C$20*K$37*(1+$D$15)^K$36*(1+$D$9)</f>
        <v>4464760.0052166</v>
      </c>
      <c r="L46" s="71" t="n">
        <f aca="false">$C$20*L$37*(1+$D$15)^L$36*(1+$D$9)</f>
        <v>4140180.37691284</v>
      </c>
      <c r="M46" s="71" t="n">
        <f aca="false">$C$20*M$37*(1+$D$15)^M$36*(1+$D$9)</f>
        <v>4067853.96053248</v>
      </c>
      <c r="N46" s="71" t="n">
        <f aca="false">$C$20*N$37*(1+$D$15)^N$36*(1+$D$9)</f>
        <v>4250059.91918133</v>
      </c>
      <c r="O46" s="71" t="n">
        <f aca="false">SUM(C46:N46)</f>
        <v>51559441.4619339</v>
      </c>
    </row>
    <row r="47" customFormat="false" ht="15" hidden="false" customHeight="false" outlineLevel="0" collapsed="false">
      <c r="A47" s="65" t="s">
        <v>721</v>
      </c>
      <c r="B47" s="85" t="n">
        <f aca="false">$C$21</f>
        <v>0.022</v>
      </c>
      <c r="C47" s="90" t="n">
        <f aca="false">$C$21*(1+$D$10)</f>
        <v>0.022</v>
      </c>
      <c r="D47" s="90" t="n">
        <f aca="false">$C$21*(1+$D$10)</f>
        <v>0.022</v>
      </c>
      <c r="E47" s="90" t="n">
        <f aca="false">$C$21*(1+$D$10)</f>
        <v>0.022</v>
      </c>
      <c r="F47" s="90" t="n">
        <f aca="false">$C$21*(1+$D$10)</f>
        <v>0.022</v>
      </c>
      <c r="G47" s="90" t="n">
        <f aca="false">$C$21*(1+$D$10)</f>
        <v>0.022</v>
      </c>
      <c r="H47" s="90" t="n">
        <f aca="false">$C$21*(1+$D$10)</f>
        <v>0.022</v>
      </c>
      <c r="I47" s="90" t="n">
        <f aca="false">$C$21*(1+$D$10)</f>
        <v>0.022</v>
      </c>
      <c r="J47" s="90" t="n">
        <f aca="false">$C$21*(1+$D$10)</f>
        <v>0.022</v>
      </c>
      <c r="K47" s="90" t="n">
        <f aca="false">$C$21*(1+$D$10)</f>
        <v>0.022</v>
      </c>
      <c r="L47" s="90" t="n">
        <f aca="false">$C$21*(1+$D$10)</f>
        <v>0.022</v>
      </c>
      <c r="M47" s="90" t="n">
        <f aca="false">$C$21*(1+$D$10)</f>
        <v>0.022</v>
      </c>
      <c r="N47" s="90" t="n">
        <f aca="false">$C$21*(1+$D$10)</f>
        <v>0.022</v>
      </c>
    </row>
    <row r="48" customFormat="false" ht="15" hidden="false" customHeight="false" outlineLevel="0" collapsed="false">
      <c r="A48" s="65" t="s">
        <v>746</v>
      </c>
      <c r="B48" s="71" t="n">
        <f aca="false">B46*B47</f>
        <v>90200</v>
      </c>
      <c r="C48" s="71" t="n">
        <f aca="false">C46*C47</f>
        <v>93184.718</v>
      </c>
      <c r="D48" s="71" t="n">
        <f aca="false">D46*D47</f>
        <v>116149.775104</v>
      </c>
      <c r="E48" s="71" t="n">
        <f aca="false">E46*E47</f>
        <v>127419.93296956</v>
      </c>
      <c r="F48" s="71" t="n">
        <f aca="false">F46*F47</f>
        <v>83984.2981049937</v>
      </c>
      <c r="G48" s="71" t="n">
        <f aca="false">G46*G47</f>
        <v>78742.5824558755</v>
      </c>
      <c r="H48" s="71" t="n">
        <f aca="false">H46*H47</f>
        <v>87244.0345268383</v>
      </c>
      <c r="I48" s="71" t="n">
        <f aca="false">I46*I47</f>
        <v>85663.5399645152</v>
      </c>
      <c r="J48" s="71" t="n">
        <f aca="false">J46*J47</f>
        <v>89616.0372762113</v>
      </c>
      <c r="K48" s="71" t="n">
        <f aca="false">K46*K47</f>
        <v>98224.7201147653</v>
      </c>
      <c r="L48" s="71" t="n">
        <f aca="false">L46*L47</f>
        <v>91083.9682920824</v>
      </c>
      <c r="M48" s="71" t="n">
        <f aca="false">M46*M47</f>
        <v>89492.7871317146</v>
      </c>
      <c r="N48" s="71" t="n">
        <f aca="false">N46*N47</f>
        <v>93501.3182219893</v>
      </c>
      <c r="O48" s="71" t="n">
        <f aca="false">SUM(C48:N48)</f>
        <v>1134307.71216255</v>
      </c>
    </row>
    <row r="49" customFormat="false" ht="15" hidden="false" customHeight="false" outlineLevel="0" collapsed="false">
      <c r="A49" s="65" t="s">
        <v>747</v>
      </c>
      <c r="B49" s="84" t="n">
        <f aca="false">$C$23</f>
        <v>154.10199556541</v>
      </c>
      <c r="C49" s="91" t="n">
        <f aca="false">$C$23*(1+$D$11)</f>
        <v>155.643015521064</v>
      </c>
      <c r="D49" s="91" t="n">
        <f aca="false">$C$23*(1+$D$11)</f>
        <v>155.643015521064</v>
      </c>
      <c r="E49" s="91" t="n">
        <f aca="false">$C$23*(1+$D$11)</f>
        <v>155.643015521064</v>
      </c>
      <c r="F49" s="91" t="n">
        <f aca="false">$C$23*(1+$D$11)</f>
        <v>155.643015521064</v>
      </c>
      <c r="G49" s="91" t="n">
        <f aca="false">$C$23*(1+$D$11)</f>
        <v>155.643015521064</v>
      </c>
      <c r="H49" s="91" t="n">
        <f aca="false">$C$23*(1+$D$11)</f>
        <v>155.643015521064</v>
      </c>
      <c r="I49" s="91" t="n">
        <f aca="false">$C$23*(1+$D$11)</f>
        <v>155.643015521064</v>
      </c>
      <c r="J49" s="91" t="n">
        <f aca="false">$C$23*(1+$D$11)</f>
        <v>155.643015521064</v>
      </c>
      <c r="K49" s="91" t="n">
        <f aca="false">$C$23*(1+$D$11)</f>
        <v>155.643015521064</v>
      </c>
      <c r="L49" s="91" t="n">
        <f aca="false">$C$23*(1+$D$11)</f>
        <v>155.643015521064</v>
      </c>
      <c r="M49" s="91" t="n">
        <f aca="false">$C$23*(1+$D$11)</f>
        <v>155.643015521064</v>
      </c>
      <c r="N49" s="91" t="n">
        <f aca="false">$C$23*(1+$D$11)</f>
        <v>155.643015521064</v>
      </c>
    </row>
    <row r="50" customFormat="false" ht="15" hidden="false" customHeight="false" outlineLevel="0" collapsed="false">
      <c r="A50" s="65" t="s">
        <v>748</v>
      </c>
      <c r="B50" s="71" t="n">
        <f aca="false">B48*B49</f>
        <v>13900000</v>
      </c>
      <c r="C50" s="71" t="n">
        <f aca="false">C48*C49</f>
        <v>14503550.51</v>
      </c>
      <c r="D50" s="71" t="n">
        <f aca="false">D48*D49</f>
        <v>18077901.24928</v>
      </c>
      <c r="E50" s="71" t="n">
        <f aca="false">E48*E49</f>
        <v>19832022.6048742</v>
      </c>
      <c r="F50" s="71" t="n">
        <f aca="false">F48*F49</f>
        <v>13071569.4134812</v>
      </c>
      <c r="G50" s="71" t="n">
        <f aca="false">G48*G49</f>
        <v>12255732.9833485</v>
      </c>
      <c r="H50" s="71" t="n">
        <f aca="false">H48*H49</f>
        <v>13578924.619981</v>
      </c>
      <c r="I50" s="71" t="n">
        <f aca="false">I48*I49</f>
        <v>13332931.6802864</v>
      </c>
      <c r="J50" s="71" t="n">
        <f aca="false">J48*J49</f>
        <v>13948110.2807176</v>
      </c>
      <c r="K50" s="71" t="n">
        <f aca="false">K48*K49</f>
        <v>15287991.6373746</v>
      </c>
      <c r="L50" s="71" t="n">
        <f aca="false">L48*L49</f>
        <v>14176583.4906047</v>
      </c>
      <c r="M50" s="71" t="n">
        <f aca="false">M48*M49</f>
        <v>13928927.2565648</v>
      </c>
      <c r="N50" s="71" t="n">
        <f aca="false">N48*N49</f>
        <v>14552827.1232651</v>
      </c>
      <c r="O50" s="71" t="n">
        <f aca="false">SUM(C50:N50)</f>
        <v>176547072.849778</v>
      </c>
    </row>
    <row r="52" customFormat="false" ht="15" hidden="false" customHeight="false" outlineLevel="0" collapsed="false">
      <c r="A52" s="59" t="s">
        <v>749</v>
      </c>
    </row>
    <row r="53" customFormat="false" ht="15" hidden="false" customHeight="false" outlineLevel="0" collapsed="false">
      <c r="A53" s="65" t="s">
        <v>744</v>
      </c>
      <c r="B53" s="71" t="n">
        <f aca="false">B44</f>
        <v>38200000</v>
      </c>
      <c r="C53" s="71" t="n">
        <f aca="false">C44</f>
        <v>39858678.38</v>
      </c>
      <c r="D53" s="71" t="n">
        <f aca="false">D44</f>
        <v>49681714.22464</v>
      </c>
      <c r="E53" s="71" t="n">
        <f aca="false">E44</f>
        <v>54502393.0579996</v>
      </c>
      <c r="F53" s="71" t="n">
        <f aca="false">F44</f>
        <v>35923305.8701426</v>
      </c>
      <c r="G53" s="71" t="n">
        <f aca="false">G44</f>
        <v>33681223.0189866</v>
      </c>
      <c r="H53" s="71" t="n">
        <f aca="false">H44</f>
        <v>37317620.1786527</v>
      </c>
      <c r="I53" s="71" t="n">
        <f aca="false">I44</f>
        <v>36641582.0278373</v>
      </c>
      <c r="J53" s="71" t="n">
        <f aca="false">J44</f>
        <v>38332216.7426916</v>
      </c>
      <c r="K53" s="71" t="n">
        <f aca="false">K44</f>
        <v>42014480.6149432</v>
      </c>
      <c r="L53" s="71" t="n">
        <f aca="false">L44</f>
        <v>38960107.1468417</v>
      </c>
      <c r="M53" s="71" t="n">
        <f aca="false">M44</f>
        <v>38279497.9281132</v>
      </c>
      <c r="N53" s="71" t="n">
        <f aca="false">N44</f>
        <v>39994100.4394766</v>
      </c>
      <c r="O53" s="71" t="n">
        <f aca="false">SUM(C53:N53)</f>
        <v>485186919.630325</v>
      </c>
    </row>
    <row r="54" customFormat="false" ht="15" hidden="false" customHeight="false" outlineLevel="0" collapsed="false">
      <c r="A54" s="65" t="s">
        <v>748</v>
      </c>
      <c r="B54" s="71" t="n">
        <f aca="false">B50</f>
        <v>13900000</v>
      </c>
      <c r="C54" s="71" t="n">
        <f aca="false">C50</f>
        <v>14503550.51</v>
      </c>
      <c r="D54" s="71" t="n">
        <f aca="false">D50</f>
        <v>18077901.24928</v>
      </c>
      <c r="E54" s="71" t="n">
        <f aca="false">E50</f>
        <v>19832022.6048742</v>
      </c>
      <c r="F54" s="71" t="n">
        <f aca="false">F50</f>
        <v>13071569.4134812</v>
      </c>
      <c r="G54" s="71" t="n">
        <f aca="false">G50</f>
        <v>12255732.9833485</v>
      </c>
      <c r="H54" s="71" t="n">
        <f aca="false">H50</f>
        <v>13578924.619981</v>
      </c>
      <c r="I54" s="71" t="n">
        <f aca="false">I50</f>
        <v>13332931.6802864</v>
      </c>
      <c r="J54" s="71" t="n">
        <f aca="false">J50</f>
        <v>13948110.2807176</v>
      </c>
      <c r="K54" s="71" t="n">
        <f aca="false">K50</f>
        <v>15287991.6373746</v>
      </c>
      <c r="L54" s="71" t="n">
        <f aca="false">L50</f>
        <v>14176583.4906047</v>
      </c>
      <c r="M54" s="71" t="n">
        <f aca="false">M50</f>
        <v>13928927.2565648</v>
      </c>
      <c r="N54" s="71" t="n">
        <f aca="false">N50</f>
        <v>14552827.1232651</v>
      </c>
      <c r="O54" s="71" t="n">
        <f aca="false">SUM(C54:N54)</f>
        <v>176547072.849778</v>
      </c>
    </row>
    <row r="55" customFormat="false" ht="15" hidden="false" customHeight="false" outlineLevel="0" collapsed="false">
      <c r="A55" s="65" t="s">
        <v>146</v>
      </c>
      <c r="B55" s="68" t="n">
        <f aca="false">Variance!$C$8</f>
        <v>-1950000</v>
      </c>
      <c r="C55" s="71" t="n">
        <f aca="false">-(C53+C54)*$B$24</f>
        <v>-2034670.755</v>
      </c>
      <c r="D55" s="71" t="n">
        <f aca="false">-(D53+D54)*$B$24</f>
        <v>-2536108.44864</v>
      </c>
      <c r="E55" s="71" t="n">
        <f aca="false">-(E53+E54)*$B$24</f>
        <v>-2782190.2215471</v>
      </c>
      <c r="F55" s="71" t="n">
        <f aca="false">-(F53+F54)*$B$24</f>
        <v>-1833781.32059629</v>
      </c>
      <c r="G55" s="71" t="n">
        <f aca="false">-(G53+G54)*$B$24</f>
        <v>-1719329.44730429</v>
      </c>
      <c r="H55" s="71" t="n">
        <f aca="false">-(H53+H54)*$B$24</f>
        <v>-1904957.05100452</v>
      </c>
      <c r="I55" s="71" t="n">
        <f aca="false">-(I53+I54)*$B$24</f>
        <v>-1870447.25011211</v>
      </c>
      <c r="J55" s="71" t="n">
        <f aca="false">-(J53+J54)*$B$24</f>
        <v>-1956749.28398557</v>
      </c>
      <c r="K55" s="71" t="n">
        <f aca="false">-(K53+K54)*$B$24</f>
        <v>-2144718.25128637</v>
      </c>
      <c r="L55" s="71" t="n">
        <f aca="false">-(L53+L54)*$B$24</f>
        <v>-1988801.28105606</v>
      </c>
      <c r="M55" s="71" t="n">
        <f aca="false">-(M53+M54)*$B$24</f>
        <v>-1954058.14030944</v>
      </c>
      <c r="N55" s="71" t="n">
        <f aca="false">-(N53+N54)*$B$24</f>
        <v>-2041583.66117747</v>
      </c>
      <c r="O55" s="71" t="n">
        <f aca="false">SUM(C55:N55)</f>
        <v>-24767395.1120192</v>
      </c>
    </row>
    <row r="56" customFormat="false" ht="15" hidden="false" customHeight="false" outlineLevel="0" collapsed="false">
      <c r="A56" s="72" t="s">
        <v>349</v>
      </c>
      <c r="B56" s="73" t="n">
        <f aca="false">SUM(B53:B55)</f>
        <v>50150000</v>
      </c>
      <c r="C56" s="73" t="n">
        <f aca="false">SUM(C53:C55)</f>
        <v>52327558.135</v>
      </c>
      <c r="D56" s="73" t="n">
        <f aca="false">SUM(D53:D55)</f>
        <v>65223507.02528</v>
      </c>
      <c r="E56" s="73" t="n">
        <f aca="false">SUM(E53:E55)</f>
        <v>71552225.4413267</v>
      </c>
      <c r="F56" s="73" t="n">
        <f aca="false">SUM(F53:F55)</f>
        <v>47161093.9630276</v>
      </c>
      <c r="G56" s="73" t="n">
        <f aca="false">SUM(G53:G55)</f>
        <v>44217626.5550308</v>
      </c>
      <c r="H56" s="73" t="n">
        <f aca="false">SUM(H53:H55)</f>
        <v>48991587.7476292</v>
      </c>
      <c r="I56" s="73" t="n">
        <f aca="false">SUM(I53:I55)</f>
        <v>48104066.4580116</v>
      </c>
      <c r="J56" s="73" t="n">
        <f aca="false">SUM(J53:J55)</f>
        <v>50323577.7394237</v>
      </c>
      <c r="K56" s="73" t="n">
        <f aca="false">SUM(K53:K55)</f>
        <v>55157754.0010314</v>
      </c>
      <c r="L56" s="73" t="n">
        <f aca="false">SUM(L53:L55)</f>
        <v>51147889.3563904</v>
      </c>
      <c r="M56" s="73" t="n">
        <f aca="false">SUM(M53:M55)</f>
        <v>50254367.0443685</v>
      </c>
      <c r="N56" s="73" t="n">
        <f aca="false">SUM(N53:N55)</f>
        <v>52505343.9015642</v>
      </c>
      <c r="O56" s="73" t="n">
        <f aca="false">SUM(C56:N56)</f>
        <v>636966597.368084</v>
      </c>
    </row>
    <row r="57" customFormat="false" ht="15" hidden="false" customHeight="false" outlineLevel="0" collapsed="false">
      <c r="A57" s="65" t="s">
        <v>147</v>
      </c>
      <c r="B57" s="68" t="n">
        <f aca="false">Variance!$C$10</f>
        <v>19600000</v>
      </c>
      <c r="C57" s="71" t="n">
        <f aca="false">C56*($B$25+$D$12)</f>
        <v>20451049.64</v>
      </c>
      <c r="D57" s="71" t="n">
        <f aca="false">D56*($B$25+$D$12)</f>
        <v>25491141.32992</v>
      </c>
      <c r="E57" s="71" t="n">
        <f aca="false">E56*($B$25+$D$12)</f>
        <v>27964578.6370888</v>
      </c>
      <c r="F57" s="71" t="n">
        <f aca="false">F56*($B$25+$D$12)</f>
        <v>18431853.2736857</v>
      </c>
      <c r="G57" s="71" t="n">
        <f aca="false">G56*($B$25+$D$12)</f>
        <v>17281465.2139303</v>
      </c>
      <c r="H57" s="71" t="n">
        <f aca="false">H56*($B$25+$D$12)</f>
        <v>19147260.615225</v>
      </c>
      <c r="I57" s="71" t="n">
        <f aca="false">I56*($B$25+$D$12)</f>
        <v>18800392.8729218</v>
      </c>
      <c r="J57" s="71" t="n">
        <f aca="false">J56*($B$25+$D$12)</f>
        <v>19667838.9569831</v>
      </c>
      <c r="K57" s="71" t="n">
        <f aca="false">K56*($B$25+$D$12)</f>
        <v>21557168.0642117</v>
      </c>
      <c r="L57" s="71" t="n">
        <f aca="false">L56*($B$25+$D$12)</f>
        <v>19990002.6198455</v>
      </c>
      <c r="M57" s="71" t="n">
        <f aca="false">M56*($B$25+$D$12)</f>
        <v>19640789.5128539</v>
      </c>
      <c r="N57" s="71" t="n">
        <f aca="false">N56*($B$25+$D$12)</f>
        <v>20520533.2097838</v>
      </c>
      <c r="O57" s="71" t="n">
        <f aca="false">SUM(C57:N57)</f>
        <v>248944073.94645</v>
      </c>
    </row>
    <row r="58" customFormat="false" ht="15" hidden="false" customHeight="false" outlineLevel="0" collapsed="false">
      <c r="A58" s="65" t="s">
        <v>149</v>
      </c>
      <c r="B58" s="68" t="n">
        <f aca="false">Variance!$C$11</f>
        <v>1700000</v>
      </c>
      <c r="C58" s="71" t="n">
        <f aca="false">C56*$B$26</f>
        <v>1773815.53</v>
      </c>
      <c r="D58" s="71" t="n">
        <f aca="false">D56*$B$26</f>
        <v>2210966.33984</v>
      </c>
      <c r="E58" s="71" t="n">
        <f aca="false">E56*$B$26</f>
        <v>2425499.1675026</v>
      </c>
      <c r="F58" s="71" t="n">
        <f aca="false">F56*$B$26</f>
        <v>1598681.15128907</v>
      </c>
      <c r="G58" s="71" t="n">
        <f aca="false">G56*$B$26</f>
        <v>1498902.59508579</v>
      </c>
      <c r="H58" s="71" t="n">
        <f aca="false">H56*$B$26</f>
        <v>1660731.78805523</v>
      </c>
      <c r="I58" s="71" t="n">
        <f aca="false">I56*$B$26</f>
        <v>1630646.32061056</v>
      </c>
      <c r="J58" s="71" t="n">
        <f aca="false">J56*$B$26</f>
        <v>1705883.9911669</v>
      </c>
      <c r="K58" s="71" t="n">
        <f aca="false">K56*$B$26</f>
        <v>1869754.37291632</v>
      </c>
      <c r="L58" s="71" t="n">
        <f aca="false">L56*$B$26</f>
        <v>1733826.75784374</v>
      </c>
      <c r="M58" s="71" t="n">
        <f aca="false">M56*$B$26</f>
        <v>1703537.8659108</v>
      </c>
      <c r="N58" s="71" t="n">
        <f aca="false">N56*$B$26</f>
        <v>1779842.16615472</v>
      </c>
      <c r="O58" s="71" t="n">
        <f aca="false">SUM(C58:N58)</f>
        <v>21592088.0463757</v>
      </c>
    </row>
    <row r="59" customFormat="false" ht="15" hidden="false" customHeight="false" outlineLevel="0" collapsed="false">
      <c r="A59" s="65" t="s">
        <v>150</v>
      </c>
      <c r="B59" s="68" t="n">
        <f aca="false">Variance!$C$12</f>
        <v>420000</v>
      </c>
      <c r="C59" s="71" t="n">
        <f aca="false">C56*($B$27+$D$13)</f>
        <v>438236.778</v>
      </c>
      <c r="D59" s="71" t="n">
        <f aca="false">D56*($B$27+$D$13)</f>
        <v>546238.742784</v>
      </c>
      <c r="E59" s="71" t="n">
        <f aca="false">E56*($B$27+$D$13)</f>
        <v>599240.97079476</v>
      </c>
      <c r="F59" s="71" t="n">
        <f aca="false">F56*($B$27+$D$13)</f>
        <v>394968.284436123</v>
      </c>
      <c r="G59" s="71" t="n">
        <f aca="false">G56*($B$27+$D$13)</f>
        <v>370317.111727077</v>
      </c>
      <c r="H59" s="71" t="n">
        <f aca="false">H56*($B$27+$D$13)</f>
        <v>410298.44175482</v>
      </c>
      <c r="I59" s="71" t="n">
        <f aca="false">I56*($B$27+$D$13)</f>
        <v>402865.561562609</v>
      </c>
      <c r="J59" s="71" t="n">
        <f aca="false">J56*($B$27+$D$13)</f>
        <v>421453.691935353</v>
      </c>
      <c r="K59" s="71" t="n">
        <f aca="false">K56*($B$27+$D$13)</f>
        <v>461939.315661679</v>
      </c>
      <c r="L59" s="71" t="n">
        <f aca="false">L56*($B$27+$D$13)</f>
        <v>428357.198996689</v>
      </c>
      <c r="M59" s="71" t="n">
        <f aca="false">M56*($B$27+$D$13)</f>
        <v>420874.060989727</v>
      </c>
      <c r="N59" s="71" t="n">
        <f aca="false">N56*($B$27+$D$13)</f>
        <v>439725.711638225</v>
      </c>
      <c r="O59" s="71" t="n">
        <f aca="false">SUM(C59:N59)</f>
        <v>5334515.87028106</v>
      </c>
    </row>
    <row r="60" customFormat="false" ht="15" hidden="false" customHeight="false" outlineLevel="0" collapsed="false">
      <c r="A60" s="72" t="s">
        <v>352</v>
      </c>
      <c r="B60" s="73" t="n">
        <f aca="false">SUM(B57:B59)</f>
        <v>21720000</v>
      </c>
      <c r="C60" s="73" t="n">
        <f aca="false">SUM(C57:C59)</f>
        <v>22663101.948</v>
      </c>
      <c r="D60" s="73" t="n">
        <f aca="false">SUM(D57:D59)</f>
        <v>28248346.412544</v>
      </c>
      <c r="E60" s="73" t="n">
        <f aca="false">SUM(E57:E59)</f>
        <v>30989318.7753862</v>
      </c>
      <c r="F60" s="73" t="n">
        <f aca="false">SUM(F57:F59)</f>
        <v>20425502.7094109</v>
      </c>
      <c r="G60" s="73" t="n">
        <f aca="false">SUM(G57:G59)</f>
        <v>19150684.9207431</v>
      </c>
      <c r="H60" s="73" t="n">
        <f aca="false">SUM(H57:H59)</f>
        <v>21218290.845035</v>
      </c>
      <c r="I60" s="73" t="n">
        <f aca="false">SUM(I57:I59)</f>
        <v>20833904.7550949</v>
      </c>
      <c r="J60" s="73" t="n">
        <f aca="false">SUM(J57:J59)</f>
        <v>21795176.6400854</v>
      </c>
      <c r="K60" s="73" t="n">
        <f aca="false">SUM(K57:K59)</f>
        <v>23888861.7527897</v>
      </c>
      <c r="L60" s="73" t="n">
        <f aca="false">SUM(L57:L59)</f>
        <v>22152186.5766859</v>
      </c>
      <c r="M60" s="73" t="n">
        <f aca="false">SUM(M57:M59)</f>
        <v>21765201.4397544</v>
      </c>
      <c r="N60" s="73" t="n">
        <f aca="false">SUM(N57:N59)</f>
        <v>22740101.0875768</v>
      </c>
      <c r="O60" s="73" t="n">
        <f aca="false">SUM(C60:N60)</f>
        <v>275870677.863106</v>
      </c>
    </row>
    <row r="61" customFormat="false" ht="15" hidden="false" customHeight="false" outlineLevel="0" collapsed="false">
      <c r="A61" s="72" t="s">
        <v>353</v>
      </c>
      <c r="B61" s="73" t="n">
        <f aca="false">B56-B60</f>
        <v>28430000</v>
      </c>
      <c r="C61" s="73" t="n">
        <f aca="false">C56-C60</f>
        <v>29664456.187</v>
      </c>
      <c r="D61" s="73" t="n">
        <f aca="false">D56-D60</f>
        <v>36975160.612736</v>
      </c>
      <c r="E61" s="73" t="n">
        <f aca="false">E56-E60</f>
        <v>40562906.6659405</v>
      </c>
      <c r="F61" s="73" t="n">
        <f aca="false">F56-F60</f>
        <v>26735591.2536166</v>
      </c>
      <c r="G61" s="73" t="n">
        <f aca="false">G56-G60</f>
        <v>25066941.6342876</v>
      </c>
      <c r="H61" s="73" t="n">
        <f aca="false">H56-H60</f>
        <v>27773296.9025942</v>
      </c>
      <c r="I61" s="73" t="n">
        <f aca="false">I56-I60</f>
        <v>27270161.7029166</v>
      </c>
      <c r="J61" s="73" t="n">
        <f aca="false">J56-J60</f>
        <v>28528401.0993383</v>
      </c>
      <c r="K61" s="73" t="n">
        <f aca="false">K56-K60</f>
        <v>31268892.2482417</v>
      </c>
      <c r="L61" s="73" t="n">
        <f aca="false">L56-L60</f>
        <v>28995702.7797045</v>
      </c>
      <c r="M61" s="73" t="n">
        <f aca="false">M56-M60</f>
        <v>28489165.6046141</v>
      </c>
      <c r="N61" s="73" t="n">
        <f aca="false">N56-N60</f>
        <v>29765242.8139875</v>
      </c>
      <c r="O61" s="73" t="n">
        <f aca="false">SUM(C61:N61)</f>
        <v>361095919.504978</v>
      </c>
    </row>
    <row r="62" customFormat="false" ht="15" hidden="false" customHeight="false" outlineLevel="0" collapsed="false">
      <c r="A62" s="92" t="s">
        <v>354</v>
      </c>
      <c r="B62" s="93" t="n">
        <f aca="false">IF(B56=0,0,B61/B56)</f>
        <v>0.566899302093719</v>
      </c>
      <c r="C62" s="93" t="n">
        <f aca="false">IF(C56=0,0,C61/C56)</f>
        <v>0.566899302093719</v>
      </c>
      <c r="D62" s="93" t="n">
        <f aca="false">IF(D56=0,0,D61/D56)</f>
        <v>0.566899302093719</v>
      </c>
      <c r="E62" s="93" t="n">
        <f aca="false">IF(E56=0,0,E61/E56)</f>
        <v>0.566899302093719</v>
      </c>
      <c r="F62" s="93" t="n">
        <f aca="false">IF(F56=0,0,F61/F56)</f>
        <v>0.566899302093719</v>
      </c>
      <c r="G62" s="93" t="n">
        <f aca="false">IF(G56=0,0,G61/G56)</f>
        <v>0.566899302093719</v>
      </c>
      <c r="H62" s="93" t="n">
        <f aca="false">IF(H56=0,0,H61/H56)</f>
        <v>0.566899302093719</v>
      </c>
      <c r="I62" s="93" t="n">
        <f aca="false">IF(I56=0,0,I61/I56)</f>
        <v>0.566899302093719</v>
      </c>
      <c r="J62" s="93" t="n">
        <f aca="false">IF(J56=0,0,J61/J56)</f>
        <v>0.566899302093719</v>
      </c>
      <c r="K62" s="93" t="n">
        <f aca="false">IF(K56=0,0,K61/K56)</f>
        <v>0.566899302093719</v>
      </c>
      <c r="L62" s="93" t="n">
        <f aca="false">IF(L56=0,0,L61/L56)</f>
        <v>0.566899302093719</v>
      </c>
      <c r="M62" s="93" t="n">
        <f aca="false">IF(M56=0,0,M61/M56)</f>
        <v>0.566899302093719</v>
      </c>
      <c r="N62" s="93" t="n">
        <f aca="false">IF(N56=0,0,N61/N56)</f>
        <v>0.566899302093719</v>
      </c>
      <c r="O62" s="94" t="n">
        <f aca="false">IF(O56=0,0,O61/O56)</f>
        <v>0.566899302093719</v>
      </c>
    </row>
    <row r="63" customFormat="false" ht="15" hidden="false" customHeight="false" outlineLevel="0" collapsed="false">
      <c r="A63" s="65" t="s">
        <v>750</v>
      </c>
      <c r="B63" s="68" t="n">
        <f aca="false">Variance!$C$16</f>
        <v>8900000</v>
      </c>
      <c r="C63" s="71" t="n">
        <f aca="false">C56*$B$28</f>
        <v>9286446.01</v>
      </c>
      <c r="D63" s="71" t="n">
        <f aca="false">D56*$B$28</f>
        <v>11575059.07328</v>
      </c>
      <c r="E63" s="71" t="n">
        <f aca="false">E56*$B$28</f>
        <v>12698201.5239842</v>
      </c>
      <c r="F63" s="71" t="n">
        <f aca="false">F56*$B$28</f>
        <v>8369566.0273369</v>
      </c>
      <c r="G63" s="71" t="n">
        <f aca="false">G56*$B$28</f>
        <v>7847195.93897854</v>
      </c>
      <c r="H63" s="71" t="n">
        <f aca="false">H56*$B$28</f>
        <v>8694419.36099501</v>
      </c>
      <c r="I63" s="71" t="n">
        <f aca="false">I56*$B$28</f>
        <v>8536913.09025529</v>
      </c>
      <c r="J63" s="71" t="n">
        <f aca="false">J56*$B$28</f>
        <v>8930804.42434438</v>
      </c>
      <c r="K63" s="71" t="n">
        <f aca="false">K56*$B$28</f>
        <v>9788714.06997367</v>
      </c>
      <c r="L63" s="71" t="n">
        <f aca="false">L56*$B$28</f>
        <v>9077093.02635841</v>
      </c>
      <c r="M63" s="71" t="n">
        <f aca="false">M56*$B$28</f>
        <v>8918521.76859182</v>
      </c>
      <c r="N63" s="71" t="n">
        <f aca="false">N56*$B$28</f>
        <v>9317997.22281</v>
      </c>
      <c r="O63" s="71" t="n">
        <f aca="false">SUM(C63:N63)</f>
        <v>113040931.536908</v>
      </c>
    </row>
    <row r="64" customFormat="false" ht="15" hidden="false" customHeight="false" outlineLevel="0" collapsed="false">
      <c r="A64" s="65" t="s">
        <v>751</v>
      </c>
      <c r="B64" s="68" t="n">
        <f aca="false">Variance!$C$17</f>
        <v>3100000</v>
      </c>
      <c r="C64" s="71" t="n">
        <f aca="false">B64*(1+$D$14)</f>
        <v>3107750</v>
      </c>
      <c r="D64" s="71" t="n">
        <f aca="false">C64*(1+$D$14)</f>
        <v>3115519.375</v>
      </c>
      <c r="E64" s="71" t="n">
        <f aca="false">D64*(1+$D$14)</f>
        <v>3123308.1734375</v>
      </c>
      <c r="F64" s="71" t="n">
        <f aca="false">E64*(1+$D$14)</f>
        <v>3131116.44387109</v>
      </c>
      <c r="G64" s="71" t="n">
        <f aca="false">F64*(1+$D$14)</f>
        <v>3138944.23498077</v>
      </c>
      <c r="H64" s="71" t="n">
        <f aca="false">G64*(1+$D$14)</f>
        <v>3146791.59556822</v>
      </c>
      <c r="I64" s="71" t="n">
        <f aca="false">H64*(1+$D$14)</f>
        <v>3154658.57455714</v>
      </c>
      <c r="J64" s="71" t="n">
        <f aca="false">I64*(1+$D$14)</f>
        <v>3162545.22099354</v>
      </c>
      <c r="K64" s="71" t="n">
        <f aca="false">J64*(1+$D$14)</f>
        <v>3170451.58404602</v>
      </c>
      <c r="L64" s="71" t="n">
        <f aca="false">K64*(1+$D$14)</f>
        <v>3178377.71300613</v>
      </c>
      <c r="M64" s="71" t="n">
        <f aca="false">L64*(1+$D$14)</f>
        <v>3186323.65728865</v>
      </c>
      <c r="N64" s="71" t="n">
        <f aca="false">M64*(1+$D$14)</f>
        <v>3194289.46643187</v>
      </c>
      <c r="O64" s="71" t="n">
        <f aca="false">SUM(C64:N64)</f>
        <v>37810076.0391809</v>
      </c>
    </row>
    <row r="65" customFormat="false" ht="15" hidden="false" customHeight="false" outlineLevel="0" collapsed="false">
      <c r="A65" s="65" t="s">
        <v>154</v>
      </c>
      <c r="B65" s="68" t="n">
        <f aca="false">Variance!$C$18</f>
        <v>1440000</v>
      </c>
      <c r="C65" s="71" t="n">
        <f aca="false">(C63+C64)*$B$31</f>
        <v>1487303.5212</v>
      </c>
      <c r="D65" s="71" t="n">
        <f aca="false">(D63+D64)*$B$31</f>
        <v>1762869.4137936</v>
      </c>
      <c r="E65" s="71" t="n">
        <f aca="false">(E63+E64)*$B$31</f>
        <v>1898581.1636906</v>
      </c>
      <c r="F65" s="71" t="n">
        <f aca="false">(F63+F64)*$B$31</f>
        <v>1380081.89654496</v>
      </c>
      <c r="G65" s="71" t="n">
        <f aca="false">(G63+G64)*$B$31</f>
        <v>1318336.82087512</v>
      </c>
      <c r="H65" s="71" t="n">
        <f aca="false">(H63+H64)*$B$31</f>
        <v>1420945.31478759</v>
      </c>
      <c r="I65" s="71" t="n">
        <f aca="false">(I63+I64)*$B$31</f>
        <v>1402988.59977749</v>
      </c>
      <c r="J65" s="71" t="n">
        <f aca="false">(J63+J64)*$B$31</f>
        <v>1451201.95744055</v>
      </c>
      <c r="K65" s="71" t="n">
        <f aca="false">(K63+K64)*$B$31</f>
        <v>1555099.87848236</v>
      </c>
      <c r="L65" s="71" t="n">
        <f aca="false">(L63+L64)*$B$31</f>
        <v>1470656.48872375</v>
      </c>
      <c r="M65" s="71" t="n">
        <f aca="false">(M63+M64)*$B$31</f>
        <v>1452581.45110566</v>
      </c>
      <c r="N65" s="71" t="n">
        <f aca="false">(N63+N64)*$B$31</f>
        <v>1501474.40270902</v>
      </c>
      <c r="O65" s="71" t="n">
        <f aca="false">SUM(C65:N65)</f>
        <v>18102120.9091307</v>
      </c>
    </row>
    <row r="66" customFormat="false" ht="15" hidden="false" customHeight="false" outlineLevel="0" collapsed="false">
      <c r="A66" s="65" t="s">
        <v>155</v>
      </c>
      <c r="B66" s="68" t="n">
        <f aca="false">Variance!$C$19</f>
        <v>4300000</v>
      </c>
      <c r="C66" s="71" t="n">
        <f aca="false">B66*(1+$D$14)</f>
        <v>4310750</v>
      </c>
      <c r="D66" s="71" t="n">
        <f aca="false">C66*(1+$D$14)</f>
        <v>4321526.875</v>
      </c>
      <c r="E66" s="71" t="n">
        <f aca="false">D66*(1+$D$14)</f>
        <v>4332330.6921875</v>
      </c>
      <c r="F66" s="71" t="n">
        <f aca="false">E66*(1+$D$14)</f>
        <v>4343161.51891797</v>
      </c>
      <c r="G66" s="71" t="n">
        <f aca="false">F66*(1+$D$14)</f>
        <v>4354019.42271526</v>
      </c>
      <c r="H66" s="71" t="n">
        <f aca="false">G66*(1+$D$14)</f>
        <v>4364904.47127205</v>
      </c>
      <c r="I66" s="71" t="n">
        <f aca="false">H66*(1+$D$14)</f>
        <v>4375816.73245023</v>
      </c>
      <c r="J66" s="71" t="n">
        <f aca="false">I66*(1+$D$14)</f>
        <v>4386756.27428136</v>
      </c>
      <c r="K66" s="71" t="n">
        <f aca="false">J66*(1+$D$14)</f>
        <v>4397723.16496706</v>
      </c>
      <c r="L66" s="71" t="n">
        <f aca="false">K66*(1+$D$14)</f>
        <v>4408717.47287948</v>
      </c>
      <c r="M66" s="71" t="n">
        <f aca="false">L66*(1+$D$14)</f>
        <v>4419739.26656168</v>
      </c>
      <c r="N66" s="71" t="n">
        <f aca="false">M66*(1+$D$14)</f>
        <v>4430788.61472808</v>
      </c>
      <c r="O66" s="71" t="n">
        <f aca="false">SUM(C66:N66)</f>
        <v>52446234.5059607</v>
      </c>
    </row>
    <row r="67" customFormat="false" ht="15" hidden="false" customHeight="false" outlineLevel="0" collapsed="false">
      <c r="A67" s="65" t="s">
        <v>156</v>
      </c>
      <c r="B67" s="68" t="n">
        <f aca="false">Variance!$C$20</f>
        <v>3350000</v>
      </c>
      <c r="C67" s="71" t="n">
        <f aca="false">C56*$B$29</f>
        <v>3495460.015</v>
      </c>
      <c r="D67" s="71" t="n">
        <f aca="false">D56*$B$29</f>
        <v>4356904.25792</v>
      </c>
      <c r="E67" s="71" t="n">
        <f aca="false">E56*$B$29</f>
        <v>4779660.1241963</v>
      </c>
      <c r="F67" s="71" t="n">
        <f aca="false">F56*$B$29</f>
        <v>3150342.2687167</v>
      </c>
      <c r="G67" s="71" t="n">
        <f aca="false">G56*$B$29</f>
        <v>2953719.81972788</v>
      </c>
      <c r="H67" s="71" t="n">
        <f aca="false">H56*$B$29</f>
        <v>3272618.52352059</v>
      </c>
      <c r="I67" s="71" t="n">
        <f aca="false">I56*$B$29</f>
        <v>3213332.45532081</v>
      </c>
      <c r="J67" s="71" t="n">
        <f aca="false">J56*$B$29</f>
        <v>3361594.92377008</v>
      </c>
      <c r="K67" s="71" t="n">
        <f aca="false">K56*$B$29</f>
        <v>3684515.97015863</v>
      </c>
      <c r="L67" s="71" t="n">
        <f aca="false">L56*$B$29</f>
        <v>3416658.61104502</v>
      </c>
      <c r="M67" s="71" t="n">
        <f aca="false">M56*$B$29</f>
        <v>3356971.67694187</v>
      </c>
      <c r="N67" s="71" t="n">
        <f aca="false">N56*$B$29</f>
        <v>3507336.03330489</v>
      </c>
      <c r="O67" s="71" t="n">
        <f aca="false">SUM(C67:N67)</f>
        <v>42549114.6796228</v>
      </c>
    </row>
    <row r="68" customFormat="false" ht="15" hidden="false" customHeight="false" outlineLevel="0" collapsed="false">
      <c r="A68" s="65" t="s">
        <v>158</v>
      </c>
      <c r="B68" s="68" t="n">
        <f aca="false">Variance!$C$21</f>
        <v>780000</v>
      </c>
      <c r="C68" s="71" t="n">
        <f aca="false">B68*(1+$D$14)</f>
        <v>781950</v>
      </c>
      <c r="D68" s="71" t="n">
        <f aca="false">C68*(1+$D$14)</f>
        <v>783904.875</v>
      </c>
      <c r="E68" s="71" t="n">
        <f aca="false">D68*(1+$D$14)</f>
        <v>785864.6371875</v>
      </c>
      <c r="F68" s="71" t="n">
        <f aca="false">E68*(1+$D$14)</f>
        <v>787829.298780469</v>
      </c>
      <c r="G68" s="71" t="n">
        <f aca="false">F68*(1+$D$14)</f>
        <v>789798.87202742</v>
      </c>
      <c r="H68" s="71" t="n">
        <f aca="false">G68*(1+$D$14)</f>
        <v>791773.369207488</v>
      </c>
      <c r="I68" s="71" t="n">
        <f aca="false">H68*(1+$D$14)</f>
        <v>793752.802630507</v>
      </c>
      <c r="J68" s="71" t="n">
        <f aca="false">I68*(1+$D$14)</f>
        <v>795737.184637083</v>
      </c>
      <c r="K68" s="71" t="n">
        <f aca="false">J68*(1+$D$14)</f>
        <v>797726.527598676</v>
      </c>
      <c r="L68" s="71" t="n">
        <f aca="false">K68*(1+$D$14)</f>
        <v>799720.843917672</v>
      </c>
      <c r="M68" s="71" t="n">
        <f aca="false">L68*(1+$D$14)</f>
        <v>801720.146027467</v>
      </c>
      <c r="N68" s="71" t="n">
        <f aca="false">M68*(1+$D$14)</f>
        <v>803724.446392535</v>
      </c>
      <c r="O68" s="71" t="n">
        <f aca="false">SUM(C68:N68)</f>
        <v>9513503.00340682</v>
      </c>
    </row>
    <row r="69" customFormat="false" ht="15" hidden="false" customHeight="false" outlineLevel="0" collapsed="false">
      <c r="A69" s="65" t="s">
        <v>160</v>
      </c>
      <c r="B69" s="68" t="n">
        <f aca="false">Variance!$C$22</f>
        <v>410000</v>
      </c>
      <c r="C69" s="71" t="n">
        <f aca="false">B69*(1+$D$14)</f>
        <v>411025</v>
      </c>
      <c r="D69" s="71" t="n">
        <f aca="false">C69*(1+$D$14)</f>
        <v>412052.5625</v>
      </c>
      <c r="E69" s="71" t="n">
        <f aca="false">D69*(1+$D$14)</f>
        <v>413082.69390625</v>
      </c>
      <c r="F69" s="71" t="n">
        <f aca="false">E69*(1+$D$14)</f>
        <v>414115.400641016</v>
      </c>
      <c r="G69" s="71" t="n">
        <f aca="false">F69*(1+$D$14)</f>
        <v>415150.689142618</v>
      </c>
      <c r="H69" s="71" t="n">
        <f aca="false">G69*(1+$D$14)</f>
        <v>416188.565865475</v>
      </c>
      <c r="I69" s="71" t="n">
        <f aca="false">H69*(1+$D$14)</f>
        <v>417229.037280138</v>
      </c>
      <c r="J69" s="71" t="n">
        <f aca="false">I69*(1+$D$14)</f>
        <v>418272.109873339</v>
      </c>
      <c r="K69" s="71" t="n">
        <f aca="false">J69*(1+$D$14)</f>
        <v>419317.790148022</v>
      </c>
      <c r="L69" s="71" t="n">
        <f aca="false">K69*(1+$D$14)</f>
        <v>420366.084623392</v>
      </c>
      <c r="M69" s="71" t="n">
        <f aca="false">L69*(1+$D$14)</f>
        <v>421416.999834951</v>
      </c>
      <c r="N69" s="71" t="n">
        <f aca="false">M69*(1+$D$14)</f>
        <v>422470.542334538</v>
      </c>
      <c r="O69" s="71" t="n">
        <f aca="false">SUM(C69:N69)</f>
        <v>5000687.47614974</v>
      </c>
    </row>
    <row r="70" customFormat="false" ht="15" hidden="false" customHeight="false" outlineLevel="0" collapsed="false">
      <c r="A70" s="65" t="s">
        <v>161</v>
      </c>
      <c r="B70" s="68" t="n">
        <f aca="false">Variance!$C$23</f>
        <v>690000</v>
      </c>
      <c r="C70" s="71" t="n">
        <f aca="false">C56*$B$30</f>
        <v>719960.421</v>
      </c>
      <c r="D70" s="71" t="n">
        <f aca="false">D56*$B$30</f>
        <v>897392.220288</v>
      </c>
      <c r="E70" s="71" t="n">
        <f aca="false">E56*$B$30</f>
        <v>984467.30916282</v>
      </c>
      <c r="F70" s="71" t="n">
        <f aca="false">F56*$B$30</f>
        <v>648876.467287917</v>
      </c>
      <c r="G70" s="71" t="n">
        <f aca="false">G56*$B$30</f>
        <v>608378.112123056</v>
      </c>
      <c r="H70" s="71" t="n">
        <f aca="false">H56*$B$30</f>
        <v>674061.725740062</v>
      </c>
      <c r="I70" s="71" t="n">
        <f aca="false">I56*$B$30</f>
        <v>661850.565424287</v>
      </c>
      <c r="J70" s="71" t="n">
        <f aca="false">J56*$B$30</f>
        <v>692388.208179508</v>
      </c>
      <c r="K70" s="71" t="n">
        <f aca="false">K56*$B$30</f>
        <v>758900.30430133</v>
      </c>
      <c r="L70" s="71" t="n">
        <f aca="false">L56*$B$30</f>
        <v>703729.68406599</v>
      </c>
      <c r="M70" s="71" t="n">
        <f aca="false">M56*$B$30</f>
        <v>691435.957340265</v>
      </c>
      <c r="N70" s="71" t="n">
        <f aca="false">N56*$B$30</f>
        <v>722406.526262798</v>
      </c>
      <c r="O70" s="71" t="n">
        <f aca="false">SUM(C70:N70)</f>
        <v>8763847.50117603</v>
      </c>
    </row>
    <row r="71" customFormat="false" ht="15" hidden="false" customHeight="false" outlineLevel="0" collapsed="false">
      <c r="A71" s="65" t="s">
        <v>162</v>
      </c>
      <c r="B71" s="68" t="n">
        <f aca="false">Variance!$C$24</f>
        <v>1050000</v>
      </c>
      <c r="C71" s="71" t="n">
        <f aca="false">B71*(1+$D$14)</f>
        <v>1052625</v>
      </c>
      <c r="D71" s="71" t="n">
        <f aca="false">C71*(1+$D$14)</f>
        <v>1055256.5625</v>
      </c>
      <c r="E71" s="71" t="n">
        <f aca="false">D71*(1+$D$14)</f>
        <v>1057894.70390625</v>
      </c>
      <c r="F71" s="71" t="n">
        <f aca="false">E71*(1+$D$14)</f>
        <v>1060539.44066602</v>
      </c>
      <c r="G71" s="71" t="n">
        <f aca="false">F71*(1+$D$14)</f>
        <v>1063190.78926768</v>
      </c>
      <c r="H71" s="71" t="n">
        <f aca="false">G71*(1+$D$14)</f>
        <v>1065848.76624085</v>
      </c>
      <c r="I71" s="71" t="n">
        <f aca="false">H71*(1+$D$14)</f>
        <v>1068513.38815645</v>
      </c>
      <c r="J71" s="71" t="n">
        <f aca="false">I71*(1+$D$14)</f>
        <v>1071184.67162684</v>
      </c>
      <c r="K71" s="71" t="n">
        <f aca="false">J71*(1+$D$14)</f>
        <v>1073862.63330591</v>
      </c>
      <c r="L71" s="71" t="n">
        <f aca="false">K71*(1+$D$14)</f>
        <v>1076547.28988917</v>
      </c>
      <c r="M71" s="71" t="n">
        <f aca="false">L71*(1+$D$14)</f>
        <v>1079238.6581139</v>
      </c>
      <c r="N71" s="71" t="n">
        <f aca="false">M71*(1+$D$14)</f>
        <v>1081936.75475918</v>
      </c>
      <c r="O71" s="71" t="n">
        <f aca="false">SUM(C71:N71)</f>
        <v>12806638.6584323</v>
      </c>
    </row>
    <row r="72" customFormat="false" ht="15" hidden="false" customHeight="false" outlineLevel="0" collapsed="false">
      <c r="A72" s="72" t="s">
        <v>356</v>
      </c>
      <c r="B72" s="73" t="n">
        <f aca="false">SUM(B63:B71)</f>
        <v>24020000</v>
      </c>
      <c r="C72" s="73" t="n">
        <f aca="false">SUM(C63:C71)</f>
        <v>24653269.9672</v>
      </c>
      <c r="D72" s="73" t="n">
        <f aca="false">SUM(D63:D71)</f>
        <v>28280485.2152816</v>
      </c>
      <c r="E72" s="73" t="n">
        <f aca="false">SUM(E63:E71)</f>
        <v>30073391.0216589</v>
      </c>
      <c r="F72" s="73" t="n">
        <f aca="false">SUM(F63:F71)</f>
        <v>23285628.762763</v>
      </c>
      <c r="G72" s="73" t="n">
        <f aca="false">SUM(G63:G71)</f>
        <v>22488734.6998383</v>
      </c>
      <c r="H72" s="73" t="n">
        <f aca="false">SUM(H63:H71)</f>
        <v>23847551.6931973</v>
      </c>
      <c r="I72" s="73" t="n">
        <f aca="false">SUM(I63:I71)</f>
        <v>23625055.2458524</v>
      </c>
      <c r="J72" s="73" t="n">
        <f aca="false">SUM(J63:J71)</f>
        <v>24270484.9751467</v>
      </c>
      <c r="K72" s="73" t="n">
        <f aca="false">SUM(K63:K71)</f>
        <v>25646311.9229817</v>
      </c>
      <c r="L72" s="73" t="n">
        <f aca="false">SUM(L63:L71)</f>
        <v>24551867.214509</v>
      </c>
      <c r="M72" s="73" t="n">
        <f aca="false">SUM(M63:M71)</f>
        <v>24327949.5818063</v>
      </c>
      <c r="N72" s="73" t="n">
        <f aca="false">SUM(N63:N71)</f>
        <v>24982424.0097329</v>
      </c>
      <c r="O72" s="73" t="n">
        <f aca="false">SUM(C72:N72)</f>
        <v>300033154.309968</v>
      </c>
    </row>
    <row r="73" customFormat="false" ht="15" hidden="false" customHeight="false" outlineLevel="0" collapsed="false">
      <c r="A73" s="72" t="s">
        <v>357</v>
      </c>
      <c r="B73" s="73" t="n">
        <f aca="false">B61-B72</f>
        <v>4410000</v>
      </c>
      <c r="C73" s="73" t="n">
        <f aca="false">C61-C72</f>
        <v>5011186.2198</v>
      </c>
      <c r="D73" s="73" t="n">
        <f aca="false">D61-D72</f>
        <v>8694675.3974544</v>
      </c>
      <c r="E73" s="73" t="n">
        <f aca="false">E61-E72</f>
        <v>10489515.6442816</v>
      </c>
      <c r="F73" s="73" t="n">
        <f aca="false">F61-F72</f>
        <v>3449962.4908536</v>
      </c>
      <c r="G73" s="73" t="n">
        <f aca="false">G61-G72</f>
        <v>2578206.93444929</v>
      </c>
      <c r="H73" s="73" t="n">
        <f aca="false">H61-H72</f>
        <v>3925745.20939682</v>
      </c>
      <c r="I73" s="73" t="n">
        <f aca="false">I61-I72</f>
        <v>3645106.45706427</v>
      </c>
      <c r="J73" s="73" t="n">
        <f aca="false">J61-J72</f>
        <v>4257916.12419162</v>
      </c>
      <c r="K73" s="73" t="n">
        <f aca="false">K61-K72</f>
        <v>5622580.32526006</v>
      </c>
      <c r="L73" s="73" t="n">
        <f aca="false">L61-L72</f>
        <v>4443835.56519544</v>
      </c>
      <c r="M73" s="73" t="n">
        <f aca="false">M61-M72</f>
        <v>4161216.02280786</v>
      </c>
      <c r="N73" s="73" t="n">
        <f aca="false">N61-N72</f>
        <v>4782818.80425454</v>
      </c>
      <c r="O73" s="73" t="n">
        <f aca="false">SUM(C73:N73)</f>
        <v>61062765.1950095</v>
      </c>
    </row>
    <row r="74" customFormat="false" ht="15" hidden="false" customHeight="false" outlineLevel="0" collapsed="false">
      <c r="A74" s="92" t="s">
        <v>752</v>
      </c>
      <c r="B74" s="93" t="n">
        <f aca="false">IF(B56=0,0,B73/B56)</f>
        <v>0.0879361914257228</v>
      </c>
      <c r="C74" s="93" t="n">
        <f aca="false">IF(C56=0,0,C73/C56)</f>
        <v>0.0957657188373213</v>
      </c>
      <c r="D74" s="93" t="n">
        <f aca="false">IF(D56=0,0,D73/D56)</f>
        <v>0.133305855419342</v>
      </c>
      <c r="E74" s="93" t="n">
        <f aca="false">IF(E56=0,0,E73/E56)</f>
        <v>0.146599432506583</v>
      </c>
      <c r="F74" s="93" t="n">
        <f aca="false">IF(F56=0,0,F73/F56)</f>
        <v>0.0731527240135318</v>
      </c>
      <c r="G74" s="93" t="n">
        <f aca="false">IF(G56=0,0,G73/G56)</f>
        <v>0.0583072212444645</v>
      </c>
      <c r="H74" s="93" t="n">
        <f aca="false">IF(H56=0,0,H73/H56)</f>
        <v>0.0801310059518698</v>
      </c>
      <c r="I74" s="93" t="n">
        <f aca="false">IF(I56=0,0,I73/I56)</f>
        <v>0.0757754328367637</v>
      </c>
      <c r="J74" s="93" t="n">
        <f aca="false">IF(J56=0,0,J73/J56)</f>
        <v>0.0846107593192037</v>
      </c>
      <c r="K74" s="93" t="n">
        <f aca="false">IF(K56=0,0,K73/K56)</f>
        <v>0.101936353774574</v>
      </c>
      <c r="L74" s="93" t="n">
        <f aca="false">IF(L56=0,0,L73/L56)</f>
        <v>0.0868820907590438</v>
      </c>
      <c r="M74" s="93" t="n">
        <f aca="false">IF(M56=0,0,M73/M56)</f>
        <v>0.082803072997298</v>
      </c>
      <c r="N74" s="93" t="n">
        <f aca="false">IF(N56=0,0,N73/N56)</f>
        <v>0.0910920384260553</v>
      </c>
      <c r="O74" s="94" t="n">
        <f aca="false">IF(O56=0,0,O73/O56)</f>
        <v>0.0958649408733801</v>
      </c>
    </row>
    <row r="75" customFormat="false" ht="15" hidden="false" customHeight="false" outlineLevel="0" collapsed="false">
      <c r="A75" s="65" t="s">
        <v>157</v>
      </c>
      <c r="B75" s="68" t="n">
        <f aca="false">Variance!$C$27</f>
        <v>1650000</v>
      </c>
      <c r="C75" s="71" t="n">
        <f aca="false">B75*(1+$D$16)</f>
        <v>1658250</v>
      </c>
      <c r="D75" s="71" t="n">
        <f aca="false">C75*(1+$D$16)</f>
        <v>1666541.25</v>
      </c>
      <c r="E75" s="71" t="n">
        <f aca="false">D75*(1+$D$16)</f>
        <v>1674873.95625</v>
      </c>
      <c r="F75" s="71" t="n">
        <f aca="false">E75*(1+$D$16)</f>
        <v>1683248.32603125</v>
      </c>
      <c r="G75" s="71" t="n">
        <f aca="false">F75*(1+$D$16)</f>
        <v>1691664.56766141</v>
      </c>
      <c r="H75" s="71" t="n">
        <f aca="false">G75*(1+$D$16)</f>
        <v>1700122.89049971</v>
      </c>
      <c r="I75" s="71" t="n">
        <f aca="false">H75*(1+$D$16)</f>
        <v>1708623.50495221</v>
      </c>
      <c r="J75" s="71" t="n">
        <f aca="false">I75*(1+$D$16)</f>
        <v>1717166.62247697</v>
      </c>
      <c r="K75" s="71" t="n">
        <f aca="false">J75*(1+$D$16)</f>
        <v>1725752.45558936</v>
      </c>
      <c r="L75" s="71" t="n">
        <f aca="false">K75*(1+$D$16)</f>
        <v>1734381.2178673</v>
      </c>
      <c r="M75" s="71" t="n">
        <f aca="false">L75*(1+$D$16)</f>
        <v>1743053.12395664</v>
      </c>
      <c r="N75" s="71" t="n">
        <f aca="false">M75*(1+$D$16)</f>
        <v>1751768.38957642</v>
      </c>
      <c r="O75" s="71" t="n">
        <f aca="false">SUM(C75:N75)</f>
        <v>20455446.3048613</v>
      </c>
    </row>
    <row r="76" customFormat="false" ht="15" hidden="false" customHeight="false" outlineLevel="0" collapsed="false">
      <c r="A76" s="72" t="s">
        <v>359</v>
      </c>
      <c r="B76" s="73" t="n">
        <f aca="false">B73-B75</f>
        <v>2760000</v>
      </c>
      <c r="C76" s="73" t="n">
        <f aca="false">C73-C75</f>
        <v>3352936.2198</v>
      </c>
      <c r="D76" s="73" t="n">
        <f aca="false">D73-D75</f>
        <v>7028134.1474544</v>
      </c>
      <c r="E76" s="73" t="n">
        <f aca="false">E73-E75</f>
        <v>8814641.68803161</v>
      </c>
      <c r="F76" s="73" t="n">
        <f aca="false">F73-F75</f>
        <v>1766714.16482235</v>
      </c>
      <c r="G76" s="73" t="n">
        <f aca="false">G73-G75</f>
        <v>886542.366787884</v>
      </c>
      <c r="H76" s="73" t="n">
        <f aca="false">H73-H75</f>
        <v>2225622.31889711</v>
      </c>
      <c r="I76" s="73" t="n">
        <f aca="false">I73-I75</f>
        <v>1936482.95211206</v>
      </c>
      <c r="J76" s="73" t="n">
        <f aca="false">J73-J75</f>
        <v>2540749.50171464</v>
      </c>
      <c r="K76" s="73" t="n">
        <f aca="false">K73-K75</f>
        <v>3896827.8696707</v>
      </c>
      <c r="L76" s="73" t="n">
        <f aca="false">L73-L75</f>
        <v>2709454.34732814</v>
      </c>
      <c r="M76" s="73" t="n">
        <f aca="false">M73-M75</f>
        <v>2418162.89885122</v>
      </c>
      <c r="N76" s="73" t="n">
        <f aca="false">N73-N75</f>
        <v>3031050.41467811</v>
      </c>
      <c r="O76" s="73" t="n">
        <f aca="false">SUM(C76:N76)</f>
        <v>40607318.8901482</v>
      </c>
    </row>
    <row r="77" customFormat="false" ht="15" hidden="false" customHeight="false" outlineLevel="0" collapsed="false">
      <c r="A77" s="65" t="s">
        <v>163</v>
      </c>
      <c r="B77" s="68" t="n">
        <f aca="false">Variance!$C$29</f>
        <v>640000</v>
      </c>
      <c r="C77" s="71" t="n">
        <f aca="false">B77</f>
        <v>640000</v>
      </c>
      <c r="D77" s="71" t="n">
        <f aca="false">C77</f>
        <v>640000</v>
      </c>
      <c r="E77" s="71" t="n">
        <f aca="false">D77</f>
        <v>640000</v>
      </c>
      <c r="F77" s="71" t="n">
        <f aca="false">E77</f>
        <v>640000</v>
      </c>
      <c r="G77" s="71" t="n">
        <f aca="false">F77</f>
        <v>640000</v>
      </c>
      <c r="H77" s="71" t="n">
        <f aca="false">G77</f>
        <v>640000</v>
      </c>
      <c r="I77" s="71" t="n">
        <f aca="false">H77</f>
        <v>640000</v>
      </c>
      <c r="J77" s="71" t="n">
        <f aca="false">I77</f>
        <v>640000</v>
      </c>
      <c r="K77" s="71" t="n">
        <f aca="false">J77</f>
        <v>640000</v>
      </c>
      <c r="L77" s="71" t="n">
        <f aca="false">K77</f>
        <v>640000</v>
      </c>
      <c r="M77" s="71" t="n">
        <f aca="false">L77</f>
        <v>640000</v>
      </c>
      <c r="N77" s="71" t="n">
        <f aca="false">M77</f>
        <v>640000</v>
      </c>
      <c r="O77" s="71" t="n">
        <f aca="false">SUM(C77:N77)</f>
        <v>7680000</v>
      </c>
    </row>
    <row r="78" customFormat="false" ht="15" hidden="false" customHeight="false" outlineLevel="0" collapsed="false">
      <c r="A78" s="72" t="s">
        <v>361</v>
      </c>
      <c r="B78" s="73" t="n">
        <f aca="false">B76-B77</f>
        <v>2120000</v>
      </c>
      <c r="C78" s="73" t="n">
        <f aca="false">C76-C77</f>
        <v>2712936.2198</v>
      </c>
      <c r="D78" s="73" t="n">
        <f aca="false">D76-D77</f>
        <v>6388134.1474544</v>
      </c>
      <c r="E78" s="73" t="n">
        <f aca="false">E76-E77</f>
        <v>8174641.68803161</v>
      </c>
      <c r="F78" s="73" t="n">
        <f aca="false">F76-F77</f>
        <v>1126714.16482235</v>
      </c>
      <c r="G78" s="73" t="n">
        <f aca="false">G76-G77</f>
        <v>246542.366787884</v>
      </c>
      <c r="H78" s="73" t="n">
        <f aca="false">H76-H77</f>
        <v>1585622.31889711</v>
      </c>
      <c r="I78" s="73" t="n">
        <f aca="false">I76-I77</f>
        <v>1296482.95211206</v>
      </c>
      <c r="J78" s="73" t="n">
        <f aca="false">J76-J77</f>
        <v>1900749.50171464</v>
      </c>
      <c r="K78" s="73" t="n">
        <f aca="false">K76-K77</f>
        <v>3256827.8696707</v>
      </c>
      <c r="L78" s="73" t="n">
        <f aca="false">L76-L77</f>
        <v>2069454.34732814</v>
      </c>
      <c r="M78" s="73" t="n">
        <f aca="false">M76-M77</f>
        <v>1778162.89885122</v>
      </c>
      <c r="N78" s="73" t="n">
        <f aca="false">N76-N77</f>
        <v>2391050.41467811</v>
      </c>
      <c r="O78" s="73" t="n">
        <f aca="false">SUM(C78:N78)</f>
        <v>32927318.8901482</v>
      </c>
    </row>
    <row r="80" customFormat="false" ht="15" hidden="false" customHeight="false" outlineLevel="0" collapsed="false">
      <c r="A80" s="59" t="s">
        <v>753</v>
      </c>
    </row>
    <row r="81" customFormat="false" ht="15" hidden="false" customHeight="false" outlineLevel="0" collapsed="false">
      <c r="A81" s="65" t="s">
        <v>754</v>
      </c>
      <c r="B81" s="68" t="n">
        <f aca="false">Variance!$D$9</f>
        <v>50300000</v>
      </c>
      <c r="C81" s="71" t="n">
        <f aca="false">$B$81*C$37</f>
        <v>51809000</v>
      </c>
      <c r="D81" s="71" t="n">
        <f aca="false">$B$81*D$37</f>
        <v>64384000</v>
      </c>
      <c r="E81" s="71" t="n">
        <f aca="false">$B$81*E$37</f>
        <v>70420000</v>
      </c>
      <c r="F81" s="71" t="n">
        <f aca="false">$B$81*F$37</f>
        <v>46276000</v>
      </c>
      <c r="G81" s="71" t="n">
        <f aca="false">$B$81*G$37</f>
        <v>43258000</v>
      </c>
      <c r="H81" s="71" t="n">
        <f aca="false">$B$81*H$37</f>
        <v>47785000</v>
      </c>
      <c r="I81" s="71" t="n">
        <f aca="false">$B$81*I$37</f>
        <v>46779000</v>
      </c>
      <c r="J81" s="71" t="n">
        <f aca="false">$B$81*J$37</f>
        <v>48791000</v>
      </c>
      <c r="K81" s="71" t="n">
        <f aca="false">$B$81*K$37</f>
        <v>53318000</v>
      </c>
      <c r="L81" s="71" t="n">
        <f aca="false">$B$81*L$37</f>
        <v>49294000</v>
      </c>
      <c r="M81" s="71" t="n">
        <f aca="false">$B$81*M$37</f>
        <v>48288000</v>
      </c>
      <c r="N81" s="71" t="n">
        <f aca="false">$B$81*N$37</f>
        <v>50300000</v>
      </c>
      <c r="O81" s="71" t="n">
        <f aca="false">SUM(C81:N81)</f>
        <v>620702000</v>
      </c>
    </row>
    <row r="82" customFormat="false" ht="15" hidden="false" customHeight="false" outlineLevel="0" collapsed="false">
      <c r="A82" s="65" t="s">
        <v>755</v>
      </c>
      <c r="B82" s="77" t="n">
        <f aca="false">IF(Variance!$D$9=0,0,Variance!$D$14/Variance!$D$9)</f>
        <v>0.577534791252485</v>
      </c>
      <c r="C82" s="74" t="n">
        <f aca="false">$B$82</f>
        <v>0.577534791252485</v>
      </c>
      <c r="D82" s="74" t="n">
        <f aca="false">$B$82</f>
        <v>0.577534791252485</v>
      </c>
      <c r="E82" s="74" t="n">
        <f aca="false">$B$82</f>
        <v>0.577534791252485</v>
      </c>
      <c r="F82" s="74" t="n">
        <f aca="false">$B$82</f>
        <v>0.577534791252485</v>
      </c>
      <c r="G82" s="74" t="n">
        <f aca="false">$B$82</f>
        <v>0.577534791252485</v>
      </c>
      <c r="H82" s="74" t="n">
        <f aca="false">$B$82</f>
        <v>0.577534791252485</v>
      </c>
      <c r="I82" s="74" t="n">
        <f aca="false">$B$82</f>
        <v>0.577534791252485</v>
      </c>
      <c r="J82" s="74" t="n">
        <f aca="false">$B$82</f>
        <v>0.577534791252485</v>
      </c>
      <c r="K82" s="74" t="n">
        <f aca="false">$B$82</f>
        <v>0.577534791252485</v>
      </c>
      <c r="L82" s="74" t="n">
        <f aca="false">$B$82</f>
        <v>0.577534791252485</v>
      </c>
      <c r="M82" s="74" t="n">
        <f aca="false">$B$82</f>
        <v>0.577534791252485</v>
      </c>
      <c r="N82" s="74" t="n">
        <f aca="false">$B$82</f>
        <v>0.577534791252485</v>
      </c>
      <c r="O82" s="95" t="n">
        <f aca="false">IF(O81=0,0,O83/O81)</f>
        <v>0.577534791252485</v>
      </c>
    </row>
    <row r="83" customFormat="false" ht="15" hidden="false" customHeight="false" outlineLevel="0" collapsed="false">
      <c r="A83" s="65" t="s">
        <v>756</v>
      </c>
      <c r="B83" s="71" t="n">
        <f aca="false">B81*B82</f>
        <v>29050000</v>
      </c>
      <c r="C83" s="71" t="n">
        <f aca="false">C81*C82</f>
        <v>29921500</v>
      </c>
      <c r="D83" s="71" t="n">
        <f aca="false">D81*D82</f>
        <v>37184000</v>
      </c>
      <c r="E83" s="71" t="n">
        <f aca="false">E81*E82</f>
        <v>40670000</v>
      </c>
      <c r="F83" s="71" t="n">
        <f aca="false">F81*F82</f>
        <v>26726000</v>
      </c>
      <c r="G83" s="71" t="n">
        <f aca="false">G81*G82</f>
        <v>24983000</v>
      </c>
      <c r="H83" s="71" t="n">
        <f aca="false">H81*H82</f>
        <v>27597500</v>
      </c>
      <c r="I83" s="71" t="n">
        <f aca="false">I81*I82</f>
        <v>27016500</v>
      </c>
      <c r="J83" s="71" t="n">
        <f aca="false">J81*J82</f>
        <v>28178500</v>
      </c>
      <c r="K83" s="71" t="n">
        <f aca="false">K81*K82</f>
        <v>30793000</v>
      </c>
      <c r="L83" s="71" t="n">
        <f aca="false">L81*L82</f>
        <v>28469000</v>
      </c>
      <c r="M83" s="71" t="n">
        <f aca="false">M81*M82</f>
        <v>27888000</v>
      </c>
      <c r="N83" s="71" t="n">
        <f aca="false">N81*N82</f>
        <v>29050000</v>
      </c>
      <c r="O83" s="71" t="n">
        <f aca="false">SUM(C83:N83)</f>
        <v>358477000</v>
      </c>
    </row>
    <row r="84" customFormat="false" ht="15" hidden="false" customHeight="false" outlineLevel="0" collapsed="false">
      <c r="A84" s="65" t="s">
        <v>757</v>
      </c>
      <c r="B84" s="68" t="n">
        <f aca="false">Variance!$D$25</f>
        <v>23230000</v>
      </c>
      <c r="C84" s="71" t="n">
        <f aca="false">$B$84*($B$32*C$37+(1-$B$32))</f>
        <v>23631820</v>
      </c>
      <c r="D84" s="71" t="n">
        <f aca="false">$B$84*($B$32*D$37+(1-$B$32))</f>
        <v>26980320</v>
      </c>
      <c r="E84" s="71" t="n">
        <f aca="false">$B$84*($B$32*E$37+(1-$B$32))</f>
        <v>28587600</v>
      </c>
      <c r="F84" s="71" t="n">
        <f aca="false">$B$84*($B$32*F$37+(1-$B$32))</f>
        <v>22158480</v>
      </c>
      <c r="G84" s="71" t="n">
        <f aca="false">$B$84*($B$32*G$37+(1-$B$32))</f>
        <v>21354840</v>
      </c>
      <c r="H84" s="71" t="n">
        <f aca="false">$B$84*($B$32*H$37+(1-$B$32))</f>
        <v>22560300</v>
      </c>
      <c r="I84" s="71" t="n">
        <f aca="false">$B$84*($B$32*I$37+(1-$B$32))</f>
        <v>22292420</v>
      </c>
      <c r="J84" s="71" t="n">
        <f aca="false">$B$84*($B$32*J$37+(1-$B$32))</f>
        <v>22828180</v>
      </c>
      <c r="K84" s="71" t="n">
        <f aca="false">$B$84*($B$32*K$37+(1-$B$32))</f>
        <v>24033640</v>
      </c>
      <c r="L84" s="71" t="n">
        <f aca="false">$B$84*($B$32*L$37+(1-$B$32))</f>
        <v>22962120</v>
      </c>
      <c r="M84" s="71" t="n">
        <f aca="false">$B$84*($B$32*M$37+(1-$B$32))</f>
        <v>22694240</v>
      </c>
      <c r="N84" s="71" t="n">
        <f aca="false">$B$84*($B$32*N$37+(1-$B$32))</f>
        <v>23230000</v>
      </c>
      <c r="O84" s="71" t="n">
        <f aca="false">SUM(C84:N84)</f>
        <v>283313960</v>
      </c>
    </row>
    <row r="85" customFormat="false" ht="15" hidden="false" customHeight="false" outlineLevel="0" collapsed="false">
      <c r="A85" s="72" t="s">
        <v>758</v>
      </c>
      <c r="B85" s="73" t="n">
        <f aca="false">B83-B84</f>
        <v>5820000</v>
      </c>
      <c r="C85" s="73" t="n">
        <f aca="false">C83-C84</f>
        <v>6289680</v>
      </c>
      <c r="D85" s="73" t="n">
        <f aca="false">D83-D84</f>
        <v>10203680</v>
      </c>
      <c r="E85" s="73" t="n">
        <f aca="false">E83-E84</f>
        <v>12082400</v>
      </c>
      <c r="F85" s="73" t="n">
        <f aca="false">F83-F84</f>
        <v>4567520</v>
      </c>
      <c r="G85" s="73" t="n">
        <f aca="false">G83-G84</f>
        <v>3628160</v>
      </c>
      <c r="H85" s="73" t="n">
        <f aca="false">H83-H84</f>
        <v>5037200</v>
      </c>
      <c r="I85" s="73" t="n">
        <f aca="false">I83-I84</f>
        <v>4724080</v>
      </c>
      <c r="J85" s="73" t="n">
        <f aca="false">J83-J84</f>
        <v>5350320</v>
      </c>
      <c r="K85" s="73" t="n">
        <f aca="false">K83-K84</f>
        <v>6759360</v>
      </c>
      <c r="L85" s="73" t="n">
        <f aca="false">L83-L84</f>
        <v>5506880</v>
      </c>
      <c r="M85" s="73" t="n">
        <f aca="false">M83-M84</f>
        <v>5193760</v>
      </c>
      <c r="N85" s="73" t="n">
        <f aca="false">N83-N84</f>
        <v>5820000</v>
      </c>
      <c r="O85" s="73" t="n">
        <f aca="false">SUM(C85:N85)</f>
        <v>75163040</v>
      </c>
    </row>
    <row r="86" customFormat="false" ht="15" hidden="false" customHeight="false" outlineLevel="0" collapsed="false">
      <c r="A86" s="65" t="s">
        <v>759</v>
      </c>
      <c r="B86" s="71" t="n">
        <f aca="false">B73</f>
        <v>4410000</v>
      </c>
      <c r="C86" s="71" t="n">
        <f aca="false">C73</f>
        <v>5011186.2198</v>
      </c>
      <c r="D86" s="71" t="n">
        <f aca="false">D73</f>
        <v>8694675.3974544</v>
      </c>
      <c r="E86" s="71" t="n">
        <f aca="false">E73</f>
        <v>10489515.6442816</v>
      </c>
      <c r="F86" s="71" t="n">
        <f aca="false">F73</f>
        <v>3449962.4908536</v>
      </c>
      <c r="G86" s="71" t="n">
        <f aca="false">G73</f>
        <v>2578206.93444929</v>
      </c>
      <c r="H86" s="71" t="n">
        <f aca="false">H73</f>
        <v>3925745.20939682</v>
      </c>
      <c r="I86" s="71" t="n">
        <f aca="false">I73</f>
        <v>3645106.45706427</v>
      </c>
      <c r="J86" s="71" t="n">
        <f aca="false">J73</f>
        <v>4257916.12419162</v>
      </c>
      <c r="K86" s="71" t="n">
        <f aca="false">K73</f>
        <v>5622580.32526006</v>
      </c>
      <c r="L86" s="71" t="n">
        <f aca="false">L73</f>
        <v>4443835.56519544</v>
      </c>
      <c r="M86" s="71" t="n">
        <f aca="false">M73</f>
        <v>4161216.02280786</v>
      </c>
      <c r="N86" s="71" t="n">
        <f aca="false">N73</f>
        <v>4782818.80425454</v>
      </c>
      <c r="O86" s="71" t="n">
        <f aca="false">SUM(C86:N86)</f>
        <v>61062765.1950095</v>
      </c>
    </row>
    <row r="87" customFormat="false" ht="15" hidden="false" customHeight="false" outlineLevel="0" collapsed="false">
      <c r="A87" s="72" t="s">
        <v>760</v>
      </c>
      <c r="B87" s="73" t="n">
        <f aca="false">B86-B85</f>
        <v>-1410000</v>
      </c>
      <c r="C87" s="73" t="n">
        <f aca="false">C86-C85</f>
        <v>-1278493.7802</v>
      </c>
      <c r="D87" s="73" t="n">
        <f aca="false">D86-D85</f>
        <v>-1509004.6025456</v>
      </c>
      <c r="E87" s="73" t="n">
        <f aca="false">E86-E85</f>
        <v>-1592884.35571839</v>
      </c>
      <c r="F87" s="73" t="n">
        <f aca="false">F86-F85</f>
        <v>-1117557.5091464</v>
      </c>
      <c r="G87" s="73" t="n">
        <f aca="false">G86-G85</f>
        <v>-1049953.06555071</v>
      </c>
      <c r="H87" s="73" t="n">
        <f aca="false">H86-H85</f>
        <v>-1111454.79060318</v>
      </c>
      <c r="I87" s="73" t="n">
        <f aca="false">I86-I85</f>
        <v>-1078973.54293573</v>
      </c>
      <c r="J87" s="73" t="n">
        <f aca="false">J86-J85</f>
        <v>-1092403.87580838</v>
      </c>
      <c r="K87" s="73" t="n">
        <f aca="false">K86-K85</f>
        <v>-1136779.67473994</v>
      </c>
      <c r="L87" s="73" t="n">
        <f aca="false">L86-L85</f>
        <v>-1063044.43480456</v>
      </c>
      <c r="M87" s="73" t="n">
        <f aca="false">M86-M85</f>
        <v>-1032543.97719214</v>
      </c>
      <c r="N87" s="73" t="n">
        <f aca="false">N86-N85</f>
        <v>-1037181.19574546</v>
      </c>
      <c r="O87" s="73" t="n">
        <f aca="false">SUM(C87:N87)</f>
        <v>-14100274.8049905</v>
      </c>
    </row>
    <row r="89" customFormat="false" ht="15" hidden="false" customHeight="false" outlineLevel="0" collapsed="false">
      <c r="A89" s="62" t="s">
        <v>761</v>
      </c>
    </row>
    <row r="90" customFormat="false" ht="15" hidden="false" customHeight="false" outlineLevel="0" collapsed="false">
      <c r="A90" s="63" t="s">
        <v>762</v>
      </c>
      <c r="B90" s="64" t="s">
        <v>260</v>
      </c>
    </row>
    <row r="91" customFormat="false" ht="15" hidden="false" customHeight="false" outlineLevel="0" collapsed="false">
      <c r="A91" s="65" t="s">
        <v>763</v>
      </c>
      <c r="B91" s="71" t="n">
        <f aca="false">O85</f>
        <v>75163040</v>
      </c>
    </row>
    <row r="92" customFormat="false" ht="15" hidden="false" customHeight="false" outlineLevel="0" collapsed="false">
      <c r="A92" s="65" t="s">
        <v>764</v>
      </c>
      <c r="B92" s="71" t="n">
        <f aca="false">(O56-O81)*O82</f>
        <v>9393370.84578208</v>
      </c>
    </row>
    <row r="93" customFormat="false" ht="15" hidden="false" customHeight="false" outlineLevel="0" collapsed="false">
      <c r="A93" s="65" t="s">
        <v>765</v>
      </c>
      <c r="B93" s="71" t="n">
        <f aca="false">O56*(O62-O82)</f>
        <v>-6774451.34080447</v>
      </c>
    </row>
    <row r="94" customFormat="false" ht="15" hidden="false" customHeight="false" outlineLevel="0" collapsed="false">
      <c r="A94" s="65" t="s">
        <v>766</v>
      </c>
      <c r="B94" s="71" t="n">
        <f aca="false">-(O72-O84)</f>
        <v>-16719194.3099681</v>
      </c>
    </row>
    <row r="95" customFormat="false" ht="15" hidden="false" customHeight="false" outlineLevel="0" collapsed="false">
      <c r="A95" s="72" t="s">
        <v>767</v>
      </c>
      <c r="B95" s="73" t="n">
        <f aca="false">SUM(B91:B94)</f>
        <v>61062765.1950095</v>
      </c>
    </row>
    <row r="97" customFormat="false" ht="15" hidden="false" customHeight="false" outlineLevel="0" collapsed="false">
      <c r="A97" s="62" t="s">
        <v>768</v>
      </c>
    </row>
    <row r="98" customFormat="false" ht="15" hidden="false" customHeight="false" outlineLevel="0" collapsed="false">
      <c r="A98" s="63" t="s">
        <v>637</v>
      </c>
      <c r="B98" s="64" t="s">
        <v>647</v>
      </c>
      <c r="C98" s="64" t="s">
        <v>190</v>
      </c>
    </row>
    <row r="99" customFormat="false" ht="15" hidden="false" customHeight="false" outlineLevel="0" collapsed="false">
      <c r="A99" s="65" t="s">
        <v>769</v>
      </c>
      <c r="B99" s="68" t="n">
        <f aca="false">B78-Variance!$C$30</f>
        <v>0</v>
      </c>
      <c r="C99" s="59" t="str">
        <f aca="false">IF(ABS(B99)&lt;=Inputs!$C$12,"PASS","FAIL")</f>
        <v>PASS</v>
      </c>
    </row>
    <row r="100" customFormat="false" ht="15" hidden="false" customHeight="false" outlineLevel="0" collapsed="false">
      <c r="A100" s="65" t="s">
        <v>770</v>
      </c>
      <c r="B100" s="68" t="n">
        <f aca="false">B73-Variance!$C$26</f>
        <v>0</v>
      </c>
      <c r="C100" s="59" t="str">
        <f aca="false">IF(ABS(B100)&lt;=Inputs!$C$12,"PASS","FAIL")</f>
        <v>PASS</v>
      </c>
    </row>
    <row r="101" customFormat="false" ht="15" hidden="false" customHeight="false" outlineLevel="0" collapsed="false">
      <c r="A101" s="65" t="s">
        <v>771</v>
      </c>
      <c r="B101" s="71" t="n">
        <f aca="false">B95-O73</f>
        <v>0</v>
      </c>
      <c r="C101" s="59" t="str">
        <f aca="false">IF(ABS(B101)&lt;=Inputs!$C$12,"PASS","FAIL")</f>
        <v>PASS</v>
      </c>
    </row>
    <row r="102" customFormat="false" ht="15" hidden="false" customHeight="false" outlineLevel="0" collapsed="false">
      <c r="A102" s="65" t="s">
        <v>772</v>
      </c>
      <c r="B102" s="71" t="n">
        <f aca="false">O78-SUM(C78:N78)</f>
        <v>0</v>
      </c>
      <c r="C102" s="59" t="str">
        <f aca="false">IF(ABS(B102)&lt;=Inputs!$C$12,"PASS","FAIL")</f>
        <v>PASS</v>
      </c>
    </row>
    <row r="103" customFormat="false" ht="15" hidden="false" customHeight="false" outlineLevel="0" collapsed="false">
      <c r="A103" s="59" t="s">
        <v>773</v>
      </c>
      <c r="C103" s="59" t="str">
        <f aca="false">IF(COUNTIF(C99:C102,"FAIL")=0,"ALL PASS","FAIL")</f>
        <v>ALL PASS</v>
      </c>
    </row>
    <row r="105" customFormat="false" ht="15" hidden="false" customHeight="false" outlineLevel="0" collapsed="false">
      <c r="A105" s="62" t="s">
        <v>774</v>
      </c>
    </row>
    <row r="106" customFormat="false" ht="15" hidden="false" customHeight="false" outlineLevel="0" collapsed="false">
      <c r="A106" s="61" t="s">
        <v>775</v>
      </c>
    </row>
    <row r="107" customFormat="false" ht="15" hidden="false" customHeight="false" outlineLevel="0" collapsed="false">
      <c r="A107" s="61" t="s">
        <v>776</v>
      </c>
    </row>
    <row r="108" customFormat="false" ht="15" hidden="false" customHeight="false" outlineLevel="0" collapsed="false">
      <c r="A108" s="61" t="s">
        <v>777</v>
      </c>
    </row>
    <row r="109" customFormat="false" ht="15" hidden="false" customHeight="false" outlineLevel="0" collapsed="false">
      <c r="A109" s="61" t="s">
        <v>778</v>
      </c>
    </row>
    <row r="110" customFormat="false" ht="15" hidden="false" customHeight="false" outlineLevel="0" collapsed="false">
      <c r="A110" s="61" t="s">
        <v>779</v>
      </c>
    </row>
    <row r="111" customFormat="false" ht="15" hidden="false" customHeight="false" outlineLevel="0" collapsed="false">
      <c r="A111" s="61" t="s">
        <v>780</v>
      </c>
    </row>
  </sheetData>
  <conditionalFormatting sqref="C99:C103">
    <cfRule type="expression" priority="2" aboveAverage="0" equalAverage="0" bottom="0" percent="0" rank="0" text="" dxfId="7">
      <formula>OR(ISNUMBER(SEARCH("FAIL",C99)),ISNUMBER(SEARCH("INVESTIGATE",C99)),ISNUMBER(SEARCH("OUT OF",C99)),ISNUMBER(SEARCH("REVIEW",C99)))</formula>
    </cfRule>
    <cfRule type="expression" priority="3" aboveAverage="0" equalAverage="0" bottom="0" percent="0" rank="0" text="" dxfId="8">
      <formula>OR(ISNUMBER(SEARCH("PASS",C99)),ISNUMBER(SEARCH("OK",C99)),ISNUMBER(SEARCH("BALANCED",C99)),ISNUMBER(SEARCH("IN RANGE",C99)),ISNUMBER(SEARCH("WITHIN",C99)),ISNUMBER(SEARCH("TIES",C99)),ISNUMBER(SEARCH("ALL PASS",C99)),ISNUMBER(SEARCH("Done",C99)))</formula>
    </cfRule>
  </conditionalFormatting>
  <dataValidations count="1">
    <dataValidation allowBlank="false" errorStyle="stop" operator="between" showDropDown="false" showErrorMessage="false" showInputMessage="false" sqref="B5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46"/>
  </cols>
  <sheetData>
    <row r="1" customFormat="false" ht="17.35" hidden="false" customHeight="false" outlineLevel="0" collapsed="false">
      <c r="A1" s="57" t="s">
        <v>781</v>
      </c>
    </row>
    <row r="2" customFormat="false" ht="15" hidden="false" customHeight="false" outlineLevel="0" collapsed="false">
      <c r="A2" s="58" t="str">
        <f aca="false">Inputs!$C$3</f>
        <v>Specialty retailer (simulated, Adairs-style)</v>
      </c>
    </row>
    <row r="3" customFormat="false" ht="15" hidden="false" customHeight="false" outlineLevel="0" collapsed="false">
      <c r="A3" s="59" t="s">
        <v>243</v>
      </c>
      <c r="B3" s="60" t="n">
        <f aca="false">Inputs!$C$5</f>
        <v>46295</v>
      </c>
    </row>
    <row r="4" customFormat="false" ht="15" hidden="false" customHeight="false" outlineLevel="0" collapsed="false">
      <c r="A4" s="61" t="s">
        <v>782</v>
      </c>
    </row>
    <row r="6" customFormat="false" ht="15" hidden="false" customHeight="false" outlineLevel="0" collapsed="false">
      <c r="A6" s="62" t="s">
        <v>783</v>
      </c>
    </row>
    <row r="7" customFormat="false" ht="15" hidden="false" customHeight="false" outlineLevel="0" collapsed="false">
      <c r="A7" s="63" t="s">
        <v>519</v>
      </c>
      <c r="B7" s="64" t="s">
        <v>784</v>
      </c>
    </row>
    <row r="8" customFormat="false" ht="27" hidden="false" customHeight="true" outlineLevel="0" collapsed="false">
      <c r="A8" s="59" t="s">
        <v>785</v>
      </c>
      <c r="B8" s="5" t="s">
        <v>786</v>
      </c>
    </row>
    <row r="9" customFormat="false" ht="27" hidden="false" customHeight="true" outlineLevel="0" collapsed="false">
      <c r="A9" s="59" t="s">
        <v>787</v>
      </c>
      <c r="B9" s="5" t="s">
        <v>788</v>
      </c>
    </row>
    <row r="10" customFormat="false" ht="27" hidden="false" customHeight="true" outlineLevel="0" collapsed="false">
      <c r="A10" s="59" t="s">
        <v>789</v>
      </c>
      <c r="B10" s="5" t="s">
        <v>790</v>
      </c>
    </row>
    <row r="11" customFormat="false" ht="27" hidden="false" customHeight="true" outlineLevel="0" collapsed="false">
      <c r="A11" s="59" t="s">
        <v>791</v>
      </c>
      <c r="B11" s="5" t="s">
        <v>792</v>
      </c>
    </row>
    <row r="12" customFormat="false" ht="27" hidden="false" customHeight="true" outlineLevel="0" collapsed="false">
      <c r="A12" s="59" t="s">
        <v>793</v>
      </c>
      <c r="B12" s="5" t="s">
        <v>794</v>
      </c>
    </row>
    <row r="13" customFormat="false" ht="27" hidden="false" customHeight="true" outlineLevel="0" collapsed="false">
      <c r="A13" s="59" t="s">
        <v>795</v>
      </c>
      <c r="B13" s="5" t="s">
        <v>796</v>
      </c>
    </row>
    <row r="14" customFormat="false" ht="27" hidden="false" customHeight="true" outlineLevel="0" collapsed="false">
      <c r="A14" s="59" t="s">
        <v>797</v>
      </c>
      <c r="B14" s="5" t="s">
        <v>798</v>
      </c>
    </row>
    <row r="16" customFormat="false" ht="15" hidden="false" customHeight="false" outlineLevel="0" collapsed="false">
      <c r="A16" s="62" t="s">
        <v>799</v>
      </c>
    </row>
    <row r="17" customFormat="false" ht="15" hidden="false" customHeight="false" outlineLevel="0" collapsed="false">
      <c r="A17" s="63" t="s">
        <v>257</v>
      </c>
      <c r="B17" s="64" t="s">
        <v>680</v>
      </c>
      <c r="C17" s="64" t="s">
        <v>800</v>
      </c>
      <c r="D17" s="64" t="s">
        <v>801</v>
      </c>
      <c r="E17" s="64" t="s">
        <v>647</v>
      </c>
      <c r="F17" s="64" t="s">
        <v>190</v>
      </c>
    </row>
    <row r="18" customFormat="false" ht="15" hidden="false" customHeight="false" outlineLevel="0" collapsed="false">
      <c r="A18" s="65" t="s">
        <v>499</v>
      </c>
      <c r="B18" s="65" t="s">
        <v>802</v>
      </c>
      <c r="C18" s="69" t="n">
        <v>27</v>
      </c>
    </row>
    <row r="19" customFormat="false" ht="15" hidden="false" customHeight="false" outlineLevel="0" collapsed="false">
      <c r="A19" s="65" t="s">
        <v>502</v>
      </c>
      <c r="B19" s="65" t="s">
        <v>803</v>
      </c>
      <c r="C19" s="69" t="n">
        <v>29</v>
      </c>
    </row>
    <row r="20" customFormat="false" ht="15" hidden="false" customHeight="false" outlineLevel="0" collapsed="false">
      <c r="A20" s="65" t="s">
        <v>505</v>
      </c>
      <c r="B20" s="65" t="s">
        <v>804</v>
      </c>
      <c r="C20" s="69" t="n">
        <v>26</v>
      </c>
    </row>
    <row r="21" customFormat="false" ht="15" hidden="false" customHeight="false" outlineLevel="0" collapsed="false">
      <c r="A21" s="65" t="s">
        <v>805</v>
      </c>
      <c r="B21" s="65" t="s">
        <v>806</v>
      </c>
      <c r="C21" s="69" t="n">
        <v>-38410</v>
      </c>
      <c r="D21" s="68" t="n">
        <f aca="false">Rec_Bank!$D$11</f>
        <v>-38410</v>
      </c>
      <c r="E21" s="71" t="n">
        <f aca="false">C21-D21</f>
        <v>0</v>
      </c>
      <c r="F21" s="59" t="str">
        <f aca="false">IF(ABS(E21)&lt;=Inputs!$C$12,"TIES","INVESTIGATE")</f>
        <v>TIES</v>
      </c>
    </row>
    <row r="22" customFormat="false" ht="15" hidden="false" customHeight="false" outlineLevel="0" collapsed="false">
      <c r="A22" s="65" t="s">
        <v>807</v>
      </c>
      <c r="B22" s="65" t="s">
        <v>808</v>
      </c>
      <c r="C22" s="69" t="n">
        <v>513420</v>
      </c>
      <c r="D22" s="68" t="n">
        <f aca="false">Rec_Bank!$D$15</f>
        <v>513420</v>
      </c>
      <c r="E22" s="71" t="n">
        <f aca="false">C22-D22</f>
        <v>0</v>
      </c>
      <c r="F22" s="59" t="str">
        <f aca="false">IF(ABS(E22)&lt;=Inputs!$C$12,"TIES","INVESTIGATE")</f>
        <v>TIES</v>
      </c>
    </row>
    <row r="23" customFormat="false" ht="15" hidden="false" customHeight="false" outlineLevel="0" collapsed="false">
      <c r="A23" s="65" t="s">
        <v>809</v>
      </c>
      <c r="B23" s="65" t="s">
        <v>810</v>
      </c>
      <c r="C23" s="69" t="n">
        <v>7151590</v>
      </c>
      <c r="D23" s="68" t="n">
        <f aca="false">Rec_Bank!$D$12</f>
        <v>7151590</v>
      </c>
      <c r="E23" s="71" t="n">
        <f aca="false">C23-D23</f>
        <v>0</v>
      </c>
      <c r="F23" s="59" t="str">
        <f aca="false">IF(ABS(E23)&lt;=Inputs!$C$12,"TIES","INVESTIGATE")</f>
        <v>TIES</v>
      </c>
    </row>
    <row r="24" customFormat="false" ht="15" hidden="false" customHeight="false" outlineLevel="0" collapsed="false">
      <c r="A24" s="65" t="s">
        <v>811</v>
      </c>
      <c r="B24" s="65" t="s">
        <v>812</v>
      </c>
      <c r="C24" s="69" t="n">
        <v>7151590</v>
      </c>
      <c r="D24" s="68" t="n">
        <f aca="false">Rec_Bank!$D$16</f>
        <v>7151590</v>
      </c>
      <c r="E24" s="71" t="n">
        <f aca="false">C24-D24</f>
        <v>0</v>
      </c>
      <c r="F24" s="59" t="str">
        <f aca="false">IF(ABS(E24)&lt;=Inputs!$C$12,"TIES","INVESTIGATE")</f>
        <v>TIES</v>
      </c>
    </row>
    <row r="25" customFormat="false" ht="15" hidden="false" customHeight="false" outlineLevel="0" collapsed="false">
      <c r="A25" s="65" t="s">
        <v>813</v>
      </c>
      <c r="B25" s="65" t="s">
        <v>814</v>
      </c>
      <c r="C25" s="69" t="n">
        <v>0</v>
      </c>
      <c r="D25" s="68" t="n">
        <f aca="false">Rec_Bank!$D$18</f>
        <v>0</v>
      </c>
      <c r="E25" s="71" t="n">
        <f aca="false">C25-D25</f>
        <v>0</v>
      </c>
      <c r="F25" s="59" t="str">
        <f aca="false">IF(ABS(E25)&lt;=Inputs!$C$12,"TIES","INVESTIGATE")</f>
        <v>TIES</v>
      </c>
    </row>
    <row r="26" customFormat="false" ht="15" hidden="false" customHeight="false" outlineLevel="0" collapsed="false">
      <c r="A26" s="65" t="s">
        <v>815</v>
      </c>
      <c r="B26" s="65" t="s">
        <v>816</v>
      </c>
      <c r="C26" s="69" t="n">
        <v>1</v>
      </c>
      <c r="D26" s="68" t="n">
        <f aca="false">Rec_Bank!$D$19</f>
        <v>1</v>
      </c>
      <c r="E26" s="71" t="n">
        <f aca="false">C26-D26</f>
        <v>0</v>
      </c>
      <c r="F26" s="59" t="str">
        <f aca="false">IF(ABS(E26)&lt;=Inputs!$C$12,"TIES","INVESTIGATE")</f>
        <v>TIES</v>
      </c>
    </row>
    <row r="27" customFormat="false" ht="15" hidden="false" customHeight="false" outlineLevel="0" collapsed="false">
      <c r="A27" s="61" t="s">
        <v>817</v>
      </c>
    </row>
    <row r="29" customFormat="false" ht="15" hidden="false" customHeight="false" outlineLevel="0" collapsed="false">
      <c r="A29" s="62" t="s">
        <v>818</v>
      </c>
    </row>
    <row r="30" customFormat="false" ht="23.85" hidden="false" customHeight="false" outlineLevel="0" collapsed="false">
      <c r="A30" s="63" t="s">
        <v>819</v>
      </c>
      <c r="B30" s="64" t="s">
        <v>820</v>
      </c>
      <c r="C30" s="64" t="s">
        <v>821</v>
      </c>
      <c r="D30" s="64" t="s">
        <v>822</v>
      </c>
      <c r="E30" s="64" t="s">
        <v>823</v>
      </c>
      <c r="F30" s="64" t="s">
        <v>824</v>
      </c>
      <c r="G30" s="64" t="s">
        <v>647</v>
      </c>
      <c r="H30" s="64" t="s">
        <v>190</v>
      </c>
    </row>
    <row r="31" customFormat="false" ht="15" hidden="false" customHeight="false" outlineLevel="0" collapsed="false">
      <c r="A31" s="65" t="s">
        <v>825</v>
      </c>
      <c r="B31" s="65" t="s">
        <v>826</v>
      </c>
      <c r="C31" s="65" t="s">
        <v>267</v>
      </c>
      <c r="D31" s="69" t="n">
        <v>-38410</v>
      </c>
      <c r="E31" s="58" t="str">
        <f aca="false">Rec_Bank!$A$22</f>
        <v>BNK-01</v>
      </c>
      <c r="F31" s="68" t="n">
        <f aca="false">Rec_Bank!$D$22</f>
        <v>-38410</v>
      </c>
      <c r="G31" s="71" t="n">
        <f aca="false">D31-F31</f>
        <v>0</v>
      </c>
      <c r="H31" s="59" t="str">
        <f aca="false">IF(ABS(G31)&lt;=Inputs!$C$12,"TIES","INVESTIGATE")</f>
        <v>TIES</v>
      </c>
    </row>
    <row r="32" customFormat="false" ht="15" hidden="false" customHeight="false" outlineLevel="0" collapsed="false">
      <c r="A32" s="65" t="s">
        <v>827</v>
      </c>
      <c r="B32" s="65" t="s">
        <v>828</v>
      </c>
      <c r="C32" s="65" t="s">
        <v>271</v>
      </c>
      <c r="D32" s="69" t="n">
        <v>1420350</v>
      </c>
      <c r="E32" s="58" t="str">
        <f aca="false">Rec_Bank!$A$23</f>
        <v>BNK-02</v>
      </c>
      <c r="F32" s="68" t="n">
        <f aca="false">Rec_Bank!$D$23</f>
        <v>1420350</v>
      </c>
      <c r="G32" s="71" t="n">
        <f aca="false">D32-F32</f>
        <v>0</v>
      </c>
      <c r="H32" s="59" t="str">
        <f aca="false">IF(ABS(G32)&lt;=Inputs!$C$12,"TIES","INVESTIGATE")</f>
        <v>TIES</v>
      </c>
    </row>
    <row r="33" customFormat="false" ht="15" hidden="false" customHeight="false" outlineLevel="0" collapsed="false">
      <c r="A33" s="65" t="s">
        <v>829</v>
      </c>
      <c r="B33" s="65" t="s">
        <v>830</v>
      </c>
      <c r="C33" s="65" t="s">
        <v>271</v>
      </c>
      <c r="D33" s="69" t="n">
        <v>-845200</v>
      </c>
      <c r="E33" s="58" t="str">
        <f aca="false">Rec_Bank!$A$24</f>
        <v>BNK-03</v>
      </c>
      <c r="F33" s="68" t="n">
        <f aca="false">Rec_Bank!$D$24</f>
        <v>-845200</v>
      </c>
      <c r="G33" s="71" t="n">
        <f aca="false">D33-F33</f>
        <v>0</v>
      </c>
      <c r="H33" s="59" t="str">
        <f aca="false">IF(ABS(G33)&lt;=Inputs!$C$12,"TIES","INVESTIGATE")</f>
        <v>TIES</v>
      </c>
    </row>
    <row r="34" customFormat="false" ht="15" hidden="false" customHeight="false" outlineLevel="0" collapsed="false">
      <c r="A34" s="65" t="s">
        <v>831</v>
      </c>
      <c r="B34" s="65" t="s">
        <v>832</v>
      </c>
      <c r="C34" s="65" t="s">
        <v>833</v>
      </c>
      <c r="D34" s="69" t="n">
        <v>-61730</v>
      </c>
      <c r="E34" s="58" t="str">
        <f aca="false">Rec_Bank!$A$25</f>
        <v>BNK-04</v>
      </c>
      <c r="F34" s="68" t="n">
        <f aca="false">Rec_Bank!$D$25</f>
        <v>-61730</v>
      </c>
      <c r="G34" s="71" t="n">
        <f aca="false">D34-F34</f>
        <v>0</v>
      </c>
      <c r="H34" s="59" t="str">
        <f aca="false">IF(ABS(G34)&lt;=Inputs!$C$12,"TIES","INVESTIGATE")</f>
        <v>TIES</v>
      </c>
    </row>
    <row r="35" customFormat="false" ht="15" hidden="false" customHeight="false" outlineLevel="0" collapsed="false">
      <c r="A35" s="72" t="s">
        <v>240</v>
      </c>
      <c r="B35" s="72"/>
      <c r="C35" s="72"/>
      <c r="D35" s="73" t="n">
        <f aca="false">SUM(D31:D34)</f>
        <v>475010</v>
      </c>
      <c r="E35" s="72"/>
      <c r="F35" s="73" t="n">
        <f aca="false">SUM(F31:F34)</f>
        <v>475010</v>
      </c>
      <c r="G35" s="73" t="n">
        <f aca="false">D35-F35</f>
        <v>0</v>
      </c>
      <c r="H35" s="72"/>
    </row>
    <row r="37" customFormat="false" ht="15" hidden="false" customHeight="false" outlineLevel="0" collapsed="false">
      <c r="A37" s="62" t="s">
        <v>834</v>
      </c>
    </row>
    <row r="38" customFormat="false" ht="15" hidden="false" customHeight="false" outlineLevel="0" collapsed="false">
      <c r="A38" s="63" t="s">
        <v>257</v>
      </c>
      <c r="B38" s="64" t="s">
        <v>519</v>
      </c>
      <c r="C38" s="64" t="s">
        <v>46</v>
      </c>
      <c r="D38" s="64" t="s">
        <v>509</v>
      </c>
    </row>
    <row r="39" customFormat="false" ht="15" hidden="false" customHeight="false" outlineLevel="0" collapsed="false">
      <c r="A39" s="65" t="s">
        <v>835</v>
      </c>
      <c r="B39" s="65" t="s">
        <v>836</v>
      </c>
      <c r="C39" s="71" t="n">
        <f aca="false">C18+C19</f>
        <v>56</v>
      </c>
      <c r="D39" s="61" t="s">
        <v>837</v>
      </c>
    </row>
    <row r="40" customFormat="false" ht="15" hidden="false" customHeight="false" outlineLevel="0" collapsed="false">
      <c r="A40" s="65" t="s">
        <v>838</v>
      </c>
      <c r="B40" s="65" t="s">
        <v>839</v>
      </c>
      <c r="C40" s="69" t="n">
        <v>40</v>
      </c>
      <c r="D40" s="61" t="s">
        <v>840</v>
      </c>
    </row>
    <row r="41" customFormat="false" ht="15" hidden="false" customHeight="false" outlineLevel="0" collapsed="false">
      <c r="A41" s="65" t="s">
        <v>841</v>
      </c>
      <c r="B41" s="65" t="s">
        <v>842</v>
      </c>
      <c r="C41" s="69" t="n">
        <v>15</v>
      </c>
      <c r="D41" s="61" t="s">
        <v>843</v>
      </c>
    </row>
    <row r="42" customFormat="false" ht="15" hidden="false" customHeight="false" outlineLevel="0" collapsed="false">
      <c r="A42" s="65" t="s">
        <v>844</v>
      </c>
      <c r="B42" s="65" t="s">
        <v>845</v>
      </c>
      <c r="C42" s="75" t="n">
        <f aca="false">C39*C40/60+C41</f>
        <v>52.3333333333333</v>
      </c>
      <c r="D42" s="61" t="s">
        <v>846</v>
      </c>
    </row>
    <row r="43" customFormat="false" ht="15" hidden="false" customHeight="false" outlineLevel="0" collapsed="false">
      <c r="A43" s="65" t="s">
        <v>847</v>
      </c>
      <c r="B43" s="65" t="s">
        <v>848</v>
      </c>
      <c r="C43" s="96" t="n">
        <v>0.001</v>
      </c>
      <c r="D43" s="61" t="s">
        <v>849</v>
      </c>
    </row>
    <row r="44" customFormat="false" ht="15" hidden="false" customHeight="false" outlineLevel="0" collapsed="false">
      <c r="A44" s="65" t="s">
        <v>850</v>
      </c>
      <c r="B44" s="65" t="s">
        <v>851</v>
      </c>
      <c r="C44" s="69" t="n">
        <v>14</v>
      </c>
      <c r="D44" s="61" t="s">
        <v>852</v>
      </c>
    </row>
    <row r="45" customFormat="false" ht="15" hidden="false" customHeight="false" outlineLevel="0" collapsed="false">
      <c r="A45" s="65" t="s">
        <v>853</v>
      </c>
      <c r="B45" s="65" t="s">
        <v>854</v>
      </c>
      <c r="C45" s="75" t="n">
        <f aca="false">C43/60+C44</f>
        <v>14.0000166666667</v>
      </c>
      <c r="D45" s="61" t="s">
        <v>855</v>
      </c>
    </row>
    <row r="46" customFormat="false" ht="15" hidden="false" customHeight="false" outlineLevel="0" collapsed="false">
      <c r="A46" s="65" t="s">
        <v>856</v>
      </c>
      <c r="B46" s="65" t="s">
        <v>857</v>
      </c>
      <c r="C46" s="75" t="n">
        <f aca="false">C42-C45</f>
        <v>38.3333166666667</v>
      </c>
      <c r="D46" s="61" t="s">
        <v>858</v>
      </c>
    </row>
    <row r="47" customFormat="false" ht="15" hidden="false" customHeight="false" outlineLevel="0" collapsed="false">
      <c r="A47" s="65" t="s">
        <v>859</v>
      </c>
      <c r="B47" s="65" t="s">
        <v>860</v>
      </c>
      <c r="C47" s="74" t="n">
        <f aca="false">IF(C42=0,0,C46/C42)</f>
        <v>0.732483757961783</v>
      </c>
      <c r="D47" s="61"/>
    </row>
    <row r="48" customFormat="false" ht="15" hidden="false" customHeight="false" outlineLevel="0" collapsed="false">
      <c r="A48" s="65" t="s">
        <v>861</v>
      </c>
      <c r="B48" s="65" t="s">
        <v>862</v>
      </c>
      <c r="C48" s="75" t="n">
        <f aca="false">C46*12/60</f>
        <v>7.66666333333333</v>
      </c>
      <c r="D48" s="61" t="s">
        <v>863</v>
      </c>
    </row>
    <row r="49" customFormat="false" ht="15" hidden="false" customHeight="false" outlineLevel="0" collapsed="false">
      <c r="A49" s="61" t="s">
        <v>864</v>
      </c>
    </row>
    <row r="51" customFormat="false" ht="15" hidden="false" customHeight="false" outlineLevel="0" collapsed="false">
      <c r="A51" s="62" t="s">
        <v>865</v>
      </c>
    </row>
    <row r="52" customFormat="false" ht="15" hidden="false" customHeight="false" outlineLevel="0" collapsed="false">
      <c r="A52" s="63" t="s">
        <v>44</v>
      </c>
      <c r="B52" s="64" t="s">
        <v>866</v>
      </c>
      <c r="C52" s="64" t="s">
        <v>867</v>
      </c>
      <c r="D52" s="64" t="s">
        <v>868</v>
      </c>
      <c r="E52" s="64" t="s">
        <v>869</v>
      </c>
      <c r="F52" s="64" t="s">
        <v>190</v>
      </c>
      <c r="G52" s="64" t="s">
        <v>870</v>
      </c>
      <c r="H52" s="64" t="s">
        <v>871</v>
      </c>
    </row>
    <row r="53" customFormat="false" ht="54" hidden="false" customHeight="true" outlineLevel="0" collapsed="false">
      <c r="A53" s="5" t="n">
        <v>1</v>
      </c>
      <c r="B53" s="5" t="s">
        <v>872</v>
      </c>
      <c r="C53" s="5" t="s">
        <v>873</v>
      </c>
      <c r="D53" s="5" t="s">
        <v>874</v>
      </c>
      <c r="E53" s="5" t="s">
        <v>875</v>
      </c>
      <c r="F53" s="5" t="s">
        <v>876</v>
      </c>
      <c r="G53" s="5" t="s">
        <v>877</v>
      </c>
      <c r="H53" s="5" t="s">
        <v>878</v>
      </c>
    </row>
    <row r="54" customFormat="false" ht="54" hidden="false" customHeight="true" outlineLevel="0" collapsed="false">
      <c r="A54" s="5" t="n">
        <v>2</v>
      </c>
      <c r="B54" s="5" t="s">
        <v>879</v>
      </c>
      <c r="C54" s="5" t="s">
        <v>880</v>
      </c>
      <c r="D54" s="5" t="s">
        <v>881</v>
      </c>
      <c r="E54" s="5" t="s">
        <v>875</v>
      </c>
      <c r="F54" s="5" t="s">
        <v>882</v>
      </c>
      <c r="G54" s="5" t="s">
        <v>877</v>
      </c>
      <c r="H54" s="5" t="s">
        <v>883</v>
      </c>
    </row>
    <row r="55" customFormat="false" ht="54" hidden="false" customHeight="true" outlineLevel="0" collapsed="false">
      <c r="A55" s="5" t="n">
        <v>3</v>
      </c>
      <c r="B55" s="5" t="s">
        <v>884</v>
      </c>
      <c r="C55" s="5" t="s">
        <v>885</v>
      </c>
      <c r="D55" s="5" t="s">
        <v>886</v>
      </c>
      <c r="E55" s="5" t="s">
        <v>887</v>
      </c>
      <c r="F55" s="5" t="s">
        <v>882</v>
      </c>
      <c r="G55" s="5" t="s">
        <v>877</v>
      </c>
      <c r="H55" s="5" t="s">
        <v>888</v>
      </c>
    </row>
    <row r="56" customFormat="false" ht="54" hidden="false" customHeight="true" outlineLevel="0" collapsed="false">
      <c r="A56" s="5" t="n">
        <v>4</v>
      </c>
      <c r="B56" s="5" t="s">
        <v>889</v>
      </c>
      <c r="C56" s="5" t="s">
        <v>890</v>
      </c>
      <c r="D56" s="5" t="s">
        <v>891</v>
      </c>
      <c r="E56" s="5" t="s">
        <v>887</v>
      </c>
      <c r="F56" s="5" t="s">
        <v>882</v>
      </c>
      <c r="G56" s="5" t="s">
        <v>887</v>
      </c>
      <c r="H56" s="5" t="s">
        <v>892</v>
      </c>
    </row>
    <row r="57" customFormat="false" ht="54" hidden="false" customHeight="true" outlineLevel="0" collapsed="false">
      <c r="A57" s="5" t="n">
        <v>5</v>
      </c>
      <c r="B57" s="5" t="s">
        <v>893</v>
      </c>
      <c r="C57" s="5" t="s">
        <v>894</v>
      </c>
      <c r="D57" s="5" t="s">
        <v>895</v>
      </c>
      <c r="E57" s="5" t="s">
        <v>887</v>
      </c>
      <c r="F57" s="5" t="s">
        <v>882</v>
      </c>
      <c r="G57" s="5" t="s">
        <v>887</v>
      </c>
      <c r="H57" s="5" t="s">
        <v>896</v>
      </c>
    </row>
    <row r="58" customFormat="false" ht="54" hidden="false" customHeight="true" outlineLevel="0" collapsed="false">
      <c r="A58" s="5" t="n">
        <v>6</v>
      </c>
      <c r="B58" s="5" t="s">
        <v>897</v>
      </c>
      <c r="C58" s="5" t="s">
        <v>898</v>
      </c>
      <c r="D58" s="5" t="s">
        <v>899</v>
      </c>
      <c r="E58" s="5" t="s">
        <v>875</v>
      </c>
      <c r="F58" s="5" t="s">
        <v>882</v>
      </c>
      <c r="G58" s="5" t="s">
        <v>875</v>
      </c>
      <c r="H58" s="5" t="s">
        <v>900</v>
      </c>
    </row>
    <row r="60" customFormat="false" ht="15" hidden="false" customHeight="false" outlineLevel="0" collapsed="false">
      <c r="A60" s="59" t="s">
        <v>901</v>
      </c>
      <c r="C60" s="97" t="n">
        <f aca="false">COUNTIF(F53:F58,"Done")</f>
        <v>1</v>
      </c>
      <c r="D60" s="98" t="n">
        <f aca="false">COUNTA(B53:B58)</f>
        <v>6</v>
      </c>
    </row>
    <row r="62" customFormat="false" ht="15" hidden="false" customHeight="false" outlineLevel="0" collapsed="false">
      <c r="A62" s="62" t="s">
        <v>902</v>
      </c>
    </row>
    <row r="63" customFormat="false" ht="15" hidden="false" customHeight="false" outlineLevel="0" collapsed="false">
      <c r="A63" s="65" t="s">
        <v>903</v>
      </c>
      <c r="B63" s="65" t="s">
        <v>904</v>
      </c>
    </row>
    <row r="64" customFormat="false" ht="15" hidden="false" customHeight="false" outlineLevel="0" collapsed="false">
      <c r="A64" s="65" t="s">
        <v>905</v>
      </c>
      <c r="B64" s="65" t="s">
        <v>906</v>
      </c>
    </row>
    <row r="65" customFormat="false" ht="15" hidden="false" customHeight="false" outlineLevel="0" collapsed="false">
      <c r="A65" s="65" t="s">
        <v>907</v>
      </c>
      <c r="B65" s="65" t="s">
        <v>908</v>
      </c>
    </row>
    <row r="66" customFormat="false" ht="15" hidden="false" customHeight="false" outlineLevel="0" collapsed="false">
      <c r="A66" s="65" t="s">
        <v>909</v>
      </c>
      <c r="B66" s="65" t="s">
        <v>910</v>
      </c>
    </row>
    <row r="67" customFormat="false" ht="15" hidden="false" customHeight="false" outlineLevel="0" collapsed="false">
      <c r="A67" s="65" t="s">
        <v>911</v>
      </c>
      <c r="B67" s="65" t="s">
        <v>912</v>
      </c>
    </row>
  </sheetData>
  <conditionalFormatting sqref="F18:F26">
    <cfRule type="expression" priority="2" aboveAverage="0" equalAverage="0" bottom="0" percent="0" rank="0" text="" dxfId="7">
      <formula>OR(ISNUMBER(SEARCH("FAIL",F18)),ISNUMBER(SEARCH("INVESTIGATE",F18)),ISNUMBER(SEARCH("OUT OF",F18)),ISNUMBER(SEARCH("REVIEW",F18)))</formula>
    </cfRule>
    <cfRule type="expression" priority="3" aboveAverage="0" equalAverage="0" bottom="0" percent="0" rank="0" text="" dxfId="8">
      <formula>OR(ISNUMBER(SEARCH("PASS",F18)),ISNUMBER(SEARCH("OK",F18)),ISNUMBER(SEARCH("BALANCED",F18)),ISNUMBER(SEARCH("IN RANGE",F18)),ISNUMBER(SEARCH("WITHIN",F18)),ISNUMBER(SEARCH("TIES",F18)),ISNUMBER(SEARCH("ALL PASS",F18)),ISNUMBER(SEARCH("Done",F18)))</formula>
    </cfRule>
  </conditionalFormatting>
  <conditionalFormatting sqref="H31:H34">
    <cfRule type="expression" priority="4" aboveAverage="0" equalAverage="0" bottom="0" percent="0" rank="0" text="" dxfId="7">
      <formula>OR(ISNUMBER(SEARCH("FAIL",H31)),ISNUMBER(SEARCH("INVESTIGATE",H31)),ISNUMBER(SEARCH("OUT OF",H31)),ISNUMBER(SEARCH("REVIEW",H31)))</formula>
    </cfRule>
    <cfRule type="expression" priority="5" aboveAverage="0" equalAverage="0" bottom="0" percent="0" rank="0" text="" dxfId="8">
      <formula>OR(ISNUMBER(SEARCH("PASS",H31)),ISNUMBER(SEARCH("OK",H31)),ISNUMBER(SEARCH("BALANCED",H31)),ISNUMBER(SEARCH("IN RANGE",H31)),ISNUMBER(SEARCH("WITHIN",H31)),ISNUMBER(SEARCH("TIES",H31)),ISNUMBER(SEARCH("ALL PASS",H31)),ISNUMBER(SEARCH("Done",H31)))</formula>
    </cfRule>
  </conditionalFormatting>
  <conditionalFormatting sqref="F53:F58">
    <cfRule type="expression" priority="6" aboveAverage="0" equalAverage="0" bottom="0" percent="0" rank="0" text="" dxfId="7">
      <formula>OR(ISNUMBER(SEARCH("FAIL",F53)),ISNUMBER(SEARCH("INVESTIGATE",F53)),ISNUMBER(SEARCH("OUT OF",F53)),ISNUMBER(SEARCH("REVIEW",F53)))</formula>
    </cfRule>
    <cfRule type="expression" priority="7" aboveAverage="0" equalAverage="0" bottom="0" percent="0" rank="0" text="" dxfId="8">
      <formula>OR(ISNUMBER(SEARCH("PASS",F53)),ISNUMBER(SEARCH("OK",F53)),ISNUMBER(SEARCH("BALANCED",F53)),ISNUMBER(SEARCH("IN RANGE",F53)),ISNUMBER(SEARCH("WITHIN",F53)),ISNUMBER(SEARCH("TIES",F53)),ISNUMBER(SEARCH("ALL PASS",F53)),ISNUMBER(SEARCH("Done",F53)))</formula>
    </cfRule>
  </conditionalFormatting>
  <dataValidations count="1">
    <dataValidation allowBlank="true" errorStyle="stop" operator="between" showDropDown="false" showErrorMessage="false" showInputMessage="false" sqref="F53:F58" type="list">
      <formula1>"Planned,In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2026-10-08T22:50:53Z</dcterms:created>
  <dc:creator>openpyxl</dc:creator>
  <dc:description/>
  <dc:language>en-US</dc:language>
  <cp:lastModifiedBy/>
  <dcterms:modified xsi:type="dcterms:W3CDTF">2026-10-08T23:35:49Z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